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ndidate Pipeline" sheetId="2" state="visible" r:id="rId2"/>
    <sheet xmlns:r="http://schemas.openxmlformats.org/officeDocument/2006/relationships" name="Interview Scorecard" sheetId="3" state="visible" r:id="rId3"/>
    <sheet xmlns:r="http://schemas.openxmlformats.org/officeDocument/2006/relationships" name="e-QIP Tracker" sheetId="4" state="visible" r:id="rId4"/>
    <sheet xmlns:r="http://schemas.openxmlformats.org/officeDocument/2006/relationships" name="e-QIP Document Checklist" sheetId="5" state="visible" r:id="rId5"/>
    <sheet xmlns:r="http://schemas.openxmlformats.org/officeDocument/2006/relationships" name="Recruiting Checklist" sheetId="6" state="visible" r:id="rId6"/>
    <sheet xmlns:r="http://schemas.openxmlformats.org/officeDocument/2006/relationships" name="Alerts &amp; Actio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"/>
  </numFmts>
  <fonts count="16">
    <font>
      <name val="Calibri"/>
      <family val="2"/>
      <color theme="1"/>
      <sz val="11"/>
      <scheme val="minor"/>
    </font>
    <font>
      <b val="1"/>
      <color rgb="001F3864"/>
    </font>
    <font>
      <color rgb="009C0006"/>
    </font>
    <font>
      <color rgb="00974706"/>
    </font>
    <font>
      <color rgb="009C5700"/>
    </font>
    <font>
      <b val="1"/>
      <color rgb="001F3864"/>
      <sz val="18"/>
    </font>
    <font>
      <b val="1"/>
      <i val="1"/>
      <color rgb="004472C4"/>
      <sz val="11"/>
    </font>
    <font>
      <b val="1"/>
      <color rgb="00FFFFFF"/>
      <sz val="13"/>
    </font>
    <font>
      <b val="1"/>
    </font>
    <font>
      <b val="1"/>
      <color rgb="001F3864"/>
      <sz val="14"/>
    </font>
    <font>
      <i val="1"/>
      <color rgb="00808080"/>
      <sz val="9"/>
    </font>
    <font>
      <b val="1"/>
      <color rgb="00006100"/>
    </font>
    <font>
      <b val="1"/>
      <color rgb="00375623"/>
    </font>
    <font>
      <b val="1"/>
      <color rgb="00974706"/>
    </font>
    <font>
      <b val="1"/>
      <color rgb="009C5700"/>
    </font>
    <font>
      <color rgb="001F3864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FDE9D9"/>
        <bgColor rgb="00FDE9D9"/>
      </patternFill>
    </fill>
    <fill>
      <patternFill patternType="solid">
        <fgColor rgb="00FFEB9C"/>
        <bgColor rgb="00FFEB9C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14">
    <border>
      <left/>
      <right/>
      <top/>
      <bottom/>
      <diagonal/>
    </border>
    <border>
      <left/>
      <right/>
      <top/>
      <bottom style="medium">
        <color rgb="001F3864"/>
      </bottom>
    </border>
    <border>
      <left/>
      <right/>
      <top/>
      <bottom style="thin">
        <color rgb="00B4C6E7"/>
      </bottom>
    </border>
    <border>
      <left/>
      <right/>
      <top/>
      <bottom style="thin">
        <color rgb="00D9E2F3"/>
      </bottom>
    </border>
    <border>
      <left/>
      <right/>
      <top style="medium">
        <color rgb="001F3864"/>
      </top>
      <bottom/>
    </border>
    <border>
      <left style="medium">
        <color rgb="001F3864"/>
      </left>
      <right/>
      <top style="medium">
        <color rgb="001F3864"/>
      </top>
      <bottom style="medium">
        <color rgb="001F3864"/>
      </bottom>
    </border>
    <border>
      <left/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1F3864"/>
      </left>
      <right/>
      <top/>
      <bottom style="thin">
        <color rgb="00B4C6E7"/>
      </bottom>
    </border>
    <border>
      <left/>
      <right style="medium">
        <color rgb="001F3864"/>
      </right>
      <top/>
      <bottom style="thin">
        <color rgb="00B4C6E7"/>
      </bottom>
    </border>
    <border>
      <left style="medium">
        <color rgb="001F3864"/>
      </left>
      <right/>
      <top/>
      <bottom style="medium">
        <color rgb="001F3864"/>
      </bottom>
    </border>
    <border>
      <left/>
      <right style="medium">
        <color rgb="001F3864"/>
      </right>
      <top/>
      <bottom style="medium">
        <color rgb="001F3864"/>
      </bottom>
    </border>
    <border>
      <left/>
      <right/>
      <top style="medium">
        <color rgb="001F3864"/>
      </top>
      <bottom style="medium">
        <color rgb="001F3864"/>
      </bottom>
    </border>
    <border>
      <left style="medium">
        <color rgb="001F3864"/>
      </left>
      <right/>
      <top/>
      <bottom style="thin">
        <color rgb="00D9E2F3"/>
      </bottom>
    </border>
    <border>
      <left/>
      <right style="medium">
        <color rgb="001F3864"/>
      </right>
      <top/>
      <bottom style="thin">
        <color rgb="00D9E2F3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  <xf numFmtId="164" fontId="2" fillId="5" borderId="0" pivotButton="0" quotePrefix="0" xfId="0"/>
    <xf numFmtId="0" fontId="2" fillId="5" borderId="0" pivotButton="0" quotePrefix="0" xfId="0"/>
    <xf numFmtId="164" fontId="3" fillId="6" borderId="0" pivotButton="0" quotePrefix="0" xfId="0"/>
    <xf numFmtId="0" fontId="3" fillId="6" borderId="0" pivotButton="0" quotePrefix="0" xfId="0"/>
    <xf numFmtId="164" fontId="4" fillId="7" borderId="0" pivotButton="0" quotePrefix="0" xfId="0"/>
    <xf numFmtId="0" fontId="4" fillId="7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7" pivotButton="0" quotePrefix="0" xfId="0"/>
    <xf numFmtId="0" fontId="9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0" fillId="3" borderId="12" pivotButton="0" quotePrefix="0" xfId="0"/>
    <xf numFmtId="0" fontId="0" fillId="3" borderId="3" applyAlignment="1" pivotButton="0" quotePrefix="0" xfId="0">
      <alignment horizontal="center"/>
    </xf>
    <xf numFmtId="166" fontId="0" fillId="3" borderId="13" applyAlignment="1" pivotButton="0" quotePrefix="0" xfId="0">
      <alignment horizontal="center"/>
    </xf>
    <xf numFmtId="0" fontId="0" fillId="3" borderId="13" applyAlignment="1" pivotButton="0" quotePrefix="0" xfId="0">
      <alignment horizontal="center"/>
    </xf>
    <xf numFmtId="0" fontId="0" fillId="4" borderId="12" pivotButton="0" quotePrefix="0" xfId="0"/>
    <xf numFmtId="0" fontId="0" fillId="4" borderId="3" applyAlignment="1" pivotButton="0" quotePrefix="0" xfId="0">
      <alignment horizontal="center"/>
    </xf>
    <xf numFmtId="166" fontId="0" fillId="4" borderId="13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9" pivotButton="0" quotePrefix="0" xfId="0"/>
    <xf numFmtId="0" fontId="0" fillId="3" borderId="1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8" fillId="0" borderId="5" pivotButton="0" quotePrefix="0" xfId="0"/>
    <xf numFmtId="0" fontId="8" fillId="0" borderId="11" applyAlignment="1" pivotButton="0" quotePrefix="0" xfId="0">
      <alignment horizontal="center"/>
    </xf>
    <xf numFmtId="0" fontId="0" fillId="0" borderId="6" pivotButton="0" quotePrefix="0" xfId="0"/>
    <xf numFmtId="0" fontId="8" fillId="4" borderId="7" pivotButton="0" quotePrefix="0" xfId="0"/>
    <xf numFmtId="167" fontId="9" fillId="4" borderId="8" applyAlignment="1" pivotButton="0" quotePrefix="0" xfId="0">
      <alignment horizontal="center"/>
    </xf>
    <xf numFmtId="0" fontId="8" fillId="3" borderId="7" pivotButton="0" quotePrefix="0" xfId="0"/>
    <xf numFmtId="167" fontId="9" fillId="3" borderId="8" applyAlignment="1" pivotButton="0" quotePrefix="0" xfId="0">
      <alignment horizontal="center"/>
    </xf>
    <xf numFmtId="0" fontId="8" fillId="4" borderId="9" pivotButton="0" quotePrefix="0" xfId="0"/>
    <xf numFmtId="167" fontId="9" fillId="4" borderId="10" applyAlignment="1" pivotButton="0" quotePrefix="0" xfId="0">
      <alignment horizontal="center"/>
    </xf>
    <xf numFmtId="0" fontId="10" fillId="0" borderId="0" pivotButton="0" quotePrefix="0" xfId="0"/>
    <xf numFmtId="1" fontId="0" fillId="3" borderId="0" pivotButton="0" quotePrefix="0" xfId="0"/>
    <xf numFmtId="1" fontId="0" fillId="4" borderId="0" pivotButton="0" quotePrefix="0" xfId="0"/>
    <xf numFmtId="0" fontId="11" fillId="9" borderId="0" pivotButton="0" quotePrefix="0" xfId="0"/>
    <xf numFmtId="0" fontId="12" fillId="10" borderId="0" pivotButton="0" quotePrefix="0" xfId="0"/>
    <xf numFmtId="0" fontId="13" fillId="6" borderId="0" pivotButton="0" quotePrefix="0" xfId="0"/>
    <xf numFmtId="0" fontId="14" fillId="7" borderId="0" pivotButton="0" quotePrefix="0" xfId="0"/>
    <xf numFmtId="0" fontId="15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4" customWidth="1" min="4" max="4"/>
    <col width="28" customWidth="1" min="5" max="5"/>
    <col width="22" customWidth="1" min="6" max="6"/>
    <col width="12" customWidth="1" min="7" max="7"/>
    <col width="18" customWidth="1" min="8" max="8"/>
  </cols>
  <sheetData>
    <row r="1" ht="40" customHeight="1">
      <c r="A1" s="22" t="inlineStr">
        <is>
          <t>Option C – Recruiting &amp; Security Hub</t>
        </is>
      </c>
    </row>
    <row r="2" ht="22" customHeight="1">
      <c r="A2" s="23" t="inlineStr">
        <is>
          <t>Government Contract Remote Surge Hiring Operation</t>
        </is>
      </c>
    </row>
    <row r="3"/>
    <row r="4" ht="28" customHeight="1">
      <c r="A4" s="24" t="inlineStr">
        <is>
          <t>SUMMARY METRICS</t>
        </is>
      </c>
    </row>
    <row r="5">
      <c r="A5" s="25" t="inlineStr">
        <is>
          <t>Metric</t>
        </is>
      </c>
      <c r="B5" s="26" t="inlineStr">
        <is>
          <t>Count</t>
        </is>
      </c>
      <c r="E5" s="25" t="inlineStr">
        <is>
          <t>Metric</t>
        </is>
      </c>
      <c r="F5" s="26" t="inlineStr">
        <is>
          <t>Count</t>
        </is>
      </c>
    </row>
    <row r="6">
      <c r="A6" s="27" t="inlineStr">
        <is>
          <t>Total Candidates in Pipeline</t>
        </is>
      </c>
      <c r="B6" s="28">
        <f>COUNTA('Candidate Pipeline'!A2:A100)-COUNTBLANK('Candidate Pipeline'!A2:A100)</f>
        <v/>
      </c>
      <c r="E6" s="27" t="inlineStr">
        <is>
          <t>Clearances Initiated</t>
        </is>
      </c>
      <c r="F6" s="28">
        <f>COUNTIF('Candidate Pipeline'!L2:L100,"Clearance Initiated")</f>
        <v/>
      </c>
    </row>
    <row r="7">
      <c r="A7" s="27" t="inlineStr">
        <is>
          <t>Interviews Scheduled</t>
        </is>
      </c>
      <c r="B7" s="28">
        <f>COUNTIF('Candidate Pipeline'!L2:L100,"Interview Scheduled")</f>
        <v/>
      </c>
      <c r="E7" s="27" t="inlineStr">
        <is>
          <t>Clearances Pending</t>
        </is>
      </c>
      <c r="F7" s="28">
        <f>COUNTIF('e-QIP Tracker'!T2:T100,"Investigation Active")</f>
        <v/>
      </c>
    </row>
    <row r="8">
      <c r="A8" s="27" t="inlineStr">
        <is>
          <t>Interviews Completed</t>
        </is>
      </c>
      <c r="B8" s="28">
        <f>COUNTIF('Candidate Pipeline'!L2:L100,"Interviewed")+COUNTIF('Candidate Pipeline'!L2:L100,"Scored")+COUNTIF('Candidate Pipeline'!L2:L100,"Offer Extended")+COUNTIF('Candidate Pipeline'!L2:L100,"Offer Accepted")+COUNTIF('Candidate Pipeline'!L2:L100,"Clearance Initiated")+COUNTIF('Candidate Pipeline'!L2:L100,"Deployed")</f>
        <v/>
      </c>
      <c r="E8" s="27" t="inlineStr">
        <is>
          <t>Clearances Granted</t>
        </is>
      </c>
      <c r="F8" s="28">
        <f>COUNTIF('e-QIP Tracker'!T2:T100,"Complete")</f>
        <v/>
      </c>
    </row>
    <row r="9">
      <c r="A9" s="27" t="inlineStr">
        <is>
          <t>Offers Extended</t>
        </is>
      </c>
      <c r="B9" s="28">
        <f>COUNTIF('Candidate Pipeline'!L2:L100,"Offer Extended")</f>
        <v/>
      </c>
      <c r="E9" s="29" t="inlineStr">
        <is>
          <t>Clearances Denied</t>
        </is>
      </c>
      <c r="F9" s="30">
        <f>COUNTIF('e-QIP Tracker'!Y2:Y100,"Denied")</f>
        <v/>
      </c>
    </row>
    <row r="10">
      <c r="A10" s="29" t="inlineStr">
        <is>
          <t>Offers Accepted</t>
        </is>
      </c>
      <c r="B10" s="30">
        <f>COUNTIF('Candidate Pipeline'!L2:L100,"Offer Accepted")+COUNTIF('Candidate Pipeline'!L2:L100,"Clearance Initiated")+COUNTIF('Candidate Pipeline'!L2:L100,"Deployed")+COUNTIF('Candidate Pipeline'!L2:L100,"Clearance Pending")</f>
        <v/>
      </c>
    </row>
    <row r="11"/>
    <row r="12" ht="28" customHeight="1">
      <c r="A12" s="24" t="inlineStr">
        <is>
          <t>PIPELINE FUNNEL SUMMARY</t>
        </is>
      </c>
      <c r="F12" s="24" t="inlineStr">
        <is>
          <t>CLEARANCE STATUS BREAKDOWN</t>
        </is>
      </c>
    </row>
    <row r="13">
      <c r="A13" s="25" t="inlineStr">
        <is>
          <t>Stage</t>
        </is>
      </c>
      <c r="B13" s="31" t="inlineStr">
        <is>
          <t>Count</t>
        </is>
      </c>
      <c r="C13" s="26" t="inlineStr">
        <is>
          <t>% of Total</t>
        </is>
      </c>
      <c r="F13" s="25" t="inlineStr">
        <is>
          <t>Status</t>
        </is>
      </c>
      <c r="G13" s="31" t="inlineStr">
        <is>
          <t>Count</t>
        </is>
      </c>
      <c r="H13" s="26" t="inlineStr">
        <is>
          <t>Avg Days in Status</t>
        </is>
      </c>
    </row>
    <row r="14">
      <c r="A14" s="32" t="inlineStr">
        <is>
          <t>Sourced</t>
        </is>
      </c>
      <c r="B14" s="33">
        <f>COUNTIF('Candidate Pipeline'!L2:L100,A14)</f>
        <v/>
      </c>
      <c r="C14" s="34">
        <f>IF(B$24=0,0,B14/B$24)</f>
        <v/>
      </c>
      <c r="F14" s="32" t="inlineStr">
        <is>
          <t>Not Started</t>
        </is>
      </c>
      <c r="G14" s="33">
        <f>COUNTIF('e-QIP Tracker'!T2:T100,"Pre-Investigation")-COUNTIFS('e-QIP Tracker'!T2:T100,"Pre-Investigation",'e-QIP Tracker'!I2:I100,"&lt;&gt;"&amp;"")</f>
        <v/>
      </c>
      <c r="H14" s="35" t="inlineStr">
        <is>
          <t>N/A</t>
        </is>
      </c>
    </row>
    <row r="15">
      <c r="A15" s="36" t="inlineStr">
        <is>
          <t>Screened</t>
        </is>
      </c>
      <c r="B15" s="37">
        <f>COUNTIF('Candidate Pipeline'!L2:L100,A15)</f>
        <v/>
      </c>
      <c r="C15" s="38">
        <f>IF(B$24=0,0,B15/B$24)</f>
        <v/>
      </c>
      <c r="F15" s="36" t="inlineStr">
        <is>
          <t>SF-86 In Progress</t>
        </is>
      </c>
      <c r="G15" s="37">
        <f>COUNTIFS('e-QIP Tracker'!O2:O100,"Pending Review")</f>
        <v/>
      </c>
      <c r="H15" s="39" t="inlineStr">
        <is>
          <t>N/A</t>
        </is>
      </c>
    </row>
    <row r="16">
      <c r="A16" s="32" t="inlineStr">
        <is>
          <t>Interview Scheduled</t>
        </is>
      </c>
      <c r="B16" s="33">
        <f>COUNTIF('Candidate Pipeline'!L2:L100,A16)</f>
        <v/>
      </c>
      <c r="C16" s="34">
        <f>IF(B$24=0,0,B16/B$24)</f>
        <v/>
      </c>
      <c r="F16" s="32" t="inlineStr">
        <is>
          <t>SF-86 Submitted</t>
        </is>
      </c>
      <c r="G16" s="33">
        <f>COUNTIFS('e-QIP Tracker'!O2:O100,"Approved")+COUNTIFS('e-QIP Tracker'!O2:O100,"Corrections Needed")</f>
        <v/>
      </c>
      <c r="H16" s="35" t="inlineStr">
        <is>
          <t>N/A</t>
        </is>
      </c>
    </row>
    <row r="17">
      <c r="A17" s="36" t="inlineStr">
        <is>
          <t>Interviewed</t>
        </is>
      </c>
      <c r="B17" s="37">
        <f>COUNTIF('Candidate Pipeline'!L2:L100,A17)</f>
        <v/>
      </c>
      <c r="C17" s="38">
        <f>IF(B$24=0,0,B17/B$24)</f>
        <v/>
      </c>
      <c r="F17" s="36" t="inlineStr">
        <is>
          <t>Investigation Active</t>
        </is>
      </c>
      <c r="G17" s="37">
        <f>COUNTIF('e-QIP Tracker'!T2:T100,"Investigation Active")</f>
        <v/>
      </c>
      <c r="H17" s="39" t="inlineStr">
        <is>
          <t>N/A</t>
        </is>
      </c>
    </row>
    <row r="18">
      <c r="A18" s="32" t="inlineStr">
        <is>
          <t>Scored</t>
        </is>
      </c>
      <c r="B18" s="33">
        <f>COUNTIF('Candidate Pipeline'!L2:L100,A18)</f>
        <v/>
      </c>
      <c r="C18" s="34">
        <f>IF(B$24=0,0,B18/B$24)</f>
        <v/>
      </c>
      <c r="F18" s="32" t="inlineStr">
        <is>
          <t>Interim Granted</t>
        </is>
      </c>
      <c r="G18" s="33">
        <f>COUNTIF('e-QIP Tracker'!W2:W100,"Granted")</f>
        <v/>
      </c>
      <c r="H18" s="35" t="inlineStr">
        <is>
          <t>N/A</t>
        </is>
      </c>
    </row>
    <row r="19">
      <c r="A19" s="36" t="inlineStr">
        <is>
          <t>Offer Extended</t>
        </is>
      </c>
      <c r="B19" s="37">
        <f>COUNTIF('Candidate Pipeline'!L2:L100,A19)</f>
        <v/>
      </c>
      <c r="C19" s="38">
        <f>IF(B$24=0,0,B19/B$24)</f>
        <v/>
      </c>
      <c r="F19" s="36" t="inlineStr">
        <is>
          <t>Final Granted</t>
        </is>
      </c>
      <c r="G19" s="37">
        <f>COUNTIF('e-QIP Tracker'!Y2:Y100,"Granted")</f>
        <v/>
      </c>
      <c r="H19" s="39" t="inlineStr">
        <is>
          <t>N/A</t>
        </is>
      </c>
    </row>
    <row r="20">
      <c r="A20" s="32" t="inlineStr">
        <is>
          <t>Offer Accepted</t>
        </is>
      </c>
      <c r="B20" s="33">
        <f>COUNTIF('Candidate Pipeline'!L2:L100,A20)</f>
        <v/>
      </c>
      <c r="C20" s="34">
        <f>IF(B$24=0,0,B20/B$24)</f>
        <v/>
      </c>
      <c r="F20" s="40" t="inlineStr">
        <is>
          <t>Denied/Withdrawn</t>
        </is>
      </c>
      <c r="G20" s="41">
        <f>COUNTIF('e-QIP Tracker'!Y2:Y100,"Denied")+COUNTIF('e-QIP Tracker'!Y2:Y100,"Withdrawn")</f>
        <v/>
      </c>
      <c r="H20" s="42" t="inlineStr">
        <is>
          <t>N/A</t>
        </is>
      </c>
    </row>
    <row r="21">
      <c r="A21" s="36" t="inlineStr">
        <is>
          <t>Clearance Initiated</t>
        </is>
      </c>
      <c r="B21" s="37">
        <f>COUNTIF('Candidate Pipeline'!L2:L100,A21)</f>
        <v/>
      </c>
      <c r="C21" s="38">
        <f>IF(B$24=0,0,B21/B$24)</f>
        <v/>
      </c>
    </row>
    <row r="22">
      <c r="A22" s="32" t="inlineStr">
        <is>
          <t>Clearance Pending</t>
        </is>
      </c>
      <c r="B22" s="33">
        <f>COUNTIF('Candidate Pipeline'!L2:L100,A22)</f>
        <v/>
      </c>
      <c r="C22" s="34">
        <f>IF(B$24=0,0,B22/B$24)</f>
        <v/>
      </c>
    </row>
    <row r="23">
      <c r="A23" s="36" t="inlineStr">
        <is>
          <t>Deployed</t>
        </is>
      </c>
      <c r="B23" s="37">
        <f>COUNTIF('Candidate Pipeline'!L2:L100,A23)</f>
        <v/>
      </c>
      <c r="C23" s="38">
        <f>IF(B$24=0,0,B23/B$24)</f>
        <v/>
      </c>
    </row>
    <row r="24">
      <c r="A24" s="43" t="inlineStr">
        <is>
          <t>Total</t>
        </is>
      </c>
      <c r="B24" s="44">
        <f>COUNTA('Candidate Pipeline'!A2:A100)-COUNTBLANK('Candidate Pipeline'!A2:A100)</f>
        <v/>
      </c>
      <c r="C24" s="45" t="inlineStr"/>
    </row>
    <row r="25"/>
    <row r="26"/>
    <row r="27" ht="28" customHeight="1">
      <c r="A27" s="24" t="inlineStr">
        <is>
          <t>RECRUITING VELOCITY METRICS</t>
        </is>
      </c>
    </row>
    <row r="28">
      <c r="A28" s="25" t="inlineStr">
        <is>
          <t>Metric</t>
        </is>
      </c>
      <c r="B28" s="26" t="inlineStr">
        <is>
          <t>Value (Days)</t>
        </is>
      </c>
    </row>
    <row r="29">
      <c r="A29" s="46" t="inlineStr">
        <is>
          <t>Avg Days Source-to-Offer</t>
        </is>
      </c>
      <c r="B29" s="47">
        <f>IFERROR(AVERAGE('Candidate Pipeline'!S2:S16-'Candidate Pipeline'!J2:J16),"N/A")</f>
        <v/>
      </c>
    </row>
    <row r="30">
      <c r="A30" s="48" t="inlineStr">
        <is>
          <t>Avg Days Offer-to-Clearance</t>
        </is>
      </c>
      <c r="B30" s="49">
        <f>IFERROR(AVERAGEIFS('e-QIP Tracker'!Z2:Z16,'e-QIP Tracker'!Z2:Z16,"&gt;0"),"N/A")</f>
        <v/>
      </c>
    </row>
    <row r="31">
      <c r="A31" s="50" t="inlineStr">
        <is>
          <t>Avg Days End-to-End</t>
        </is>
      </c>
      <c r="B31" s="51">
        <f>IFERROR(B29+B30,"N/A")</f>
        <v/>
      </c>
    </row>
    <row r="32"/>
    <row r="33">
      <c r="A33" s="52" t="inlineStr">
        <is>
          <t>Report generated: April 20, 2026  |  Prepared by: Kelly  |  Plain Dealing, LA</t>
        </is>
      </c>
    </row>
  </sheetData>
  <mergeCells count="7">
    <mergeCell ref="A4:H4"/>
    <mergeCell ref="A27:D27"/>
    <mergeCell ref="A12:D12"/>
    <mergeCell ref="A2:H2"/>
    <mergeCell ref="A33:H33"/>
    <mergeCell ref="F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14" customWidth="1" min="5" max="5"/>
    <col width="10" customWidth="1" min="6" max="6"/>
    <col width="22" customWidth="1" min="7" max="7"/>
    <col width="18" customWidth="1" min="8" max="8"/>
    <col width="20" customWidth="1" min="9" max="9"/>
    <col width="13" customWidth="1" min="10" max="10"/>
    <col width="16" customWidth="1" min="11" max="11"/>
    <col width="18" customWidth="1" min="12" max="12"/>
    <col width="15" customWidth="1" min="13" max="13"/>
    <col width="16" customWidth="1" min="14" max="14"/>
    <col width="25" customWidth="1" min="15" max="15"/>
    <col width="14" customWidth="1" min="16" max="16"/>
    <col width="15" customWidth="1" min="17" max="17"/>
    <col width="13" customWidth="1" min="18" max="18"/>
    <col width="12" customWidth="1" min="19" max="19"/>
    <col width="16" customWidth="1" min="20" max="20"/>
    <col width="15" customWidth="1" min="21" max="21"/>
    <col width="12" customWidth="1" min="22" max="22"/>
    <col width="16" customWidth="1" min="23" max="23"/>
    <col width="25" customWidth="1" min="24" max="24"/>
  </cols>
  <sheetData>
    <row r="1">
      <c r="A1" s="1" t="inlineStr">
        <is>
          <t>Candidate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Source</t>
        </is>
      </c>
      <c r="G1" s="1" t="inlineStr">
        <is>
          <t>Position Title</t>
        </is>
      </c>
      <c r="H1" s="1" t="inlineStr">
        <is>
          <t>Labor Category</t>
        </is>
      </c>
      <c r="I1" s="1" t="inlineStr">
        <is>
          <t>Clearance Level Required</t>
        </is>
      </c>
      <c r="J1" s="1" t="inlineStr">
        <is>
          <t>Date Sourced</t>
        </is>
      </c>
      <c r="K1" s="1" t="inlineStr">
        <is>
          <t>Recruiter Assigned</t>
        </is>
      </c>
      <c r="L1" s="1" t="inlineStr">
        <is>
          <t>Current Stage</t>
        </is>
      </c>
      <c r="M1" s="1" t="inlineStr">
        <is>
          <t>Date Stage Updated</t>
        </is>
      </c>
      <c r="N1" s="1" t="inlineStr">
        <is>
          <t>Days in Current Stage</t>
        </is>
      </c>
      <c r="O1" s="1" t="inlineStr">
        <is>
          <t>Screening Notes</t>
        </is>
      </c>
      <c r="P1" s="1" t="inlineStr">
        <is>
          <t>Resume Received</t>
        </is>
      </c>
      <c r="Q1" s="1" t="inlineStr">
        <is>
          <t>Salary Expectation</t>
        </is>
      </c>
      <c r="R1" s="1" t="inlineStr">
        <is>
          <t>Offer Amount</t>
        </is>
      </c>
      <c r="S1" s="1" t="inlineStr">
        <is>
          <t>Offer Date</t>
        </is>
      </c>
      <c r="T1" s="1" t="inlineStr">
        <is>
          <t>Offer Accepted Date</t>
        </is>
      </c>
      <c r="U1" s="1" t="inlineStr">
        <is>
          <t>Start Date (Target)</t>
        </is>
      </c>
      <c r="V1" s="1" t="inlineStr">
        <is>
          <t>Disposition</t>
        </is>
      </c>
      <c r="W1" s="1" t="inlineStr">
        <is>
          <t>Disposition Reason</t>
        </is>
      </c>
      <c r="X1" s="1" t="inlineStr">
        <is>
          <t>Notes</t>
        </is>
      </c>
    </row>
    <row r="2">
      <c r="A2" s="2" t="inlineStr">
        <is>
          <t>RC-1001</t>
        </is>
      </c>
      <c r="B2" s="2" t="inlineStr">
        <is>
          <t>James</t>
        </is>
      </c>
      <c r="C2" s="2" t="inlineStr">
        <is>
          <t>Whitfield</t>
        </is>
      </c>
      <c r="D2" s="2" t="inlineStr">
        <is>
          <t>j.whitfield@email.com</t>
        </is>
      </c>
      <c r="E2" s="2" t="inlineStr">
        <is>
          <t>318-555-0101</t>
        </is>
      </c>
      <c r="F2" s="2" t="inlineStr">
        <is>
          <t>Referral</t>
        </is>
      </c>
      <c r="G2" s="2" t="inlineStr">
        <is>
          <t>IT Help Desk Specialist</t>
        </is>
      </c>
      <c r="H2" s="2" t="inlineStr">
        <is>
          <t>SCA-Help Desk II</t>
        </is>
      </c>
      <c r="I2" s="2" t="inlineStr">
        <is>
          <t>Public Trust</t>
        </is>
      </c>
      <c r="J2" s="8" t="n">
        <v>46082</v>
      </c>
      <c r="K2" s="2" t="inlineStr">
        <is>
          <t>Sarah Mitchell</t>
        </is>
      </c>
      <c r="L2" s="2" t="inlineStr">
        <is>
          <t>Clearance Initiated</t>
        </is>
      </c>
      <c r="M2" s="8" t="n">
        <v>46122</v>
      </c>
      <c r="N2" s="53">
        <f>IF(M2="","",TODAY()-M2)</f>
        <v/>
      </c>
      <c r="O2" s="2" t="inlineStr">
        <is>
          <t>Strong Windows/AD experience</t>
        </is>
      </c>
      <c r="P2" s="2" t="inlineStr">
        <is>
          <t>Yes</t>
        </is>
      </c>
      <c r="Q2" s="9" t="n">
        <v>62000</v>
      </c>
      <c r="R2" s="9" t="n">
        <v>60000</v>
      </c>
      <c r="S2" s="8" t="n">
        <v>46109</v>
      </c>
      <c r="T2" s="8" t="n">
        <v>46112</v>
      </c>
      <c r="U2" s="8" t="n">
        <v>46157</v>
      </c>
      <c r="V2" s="2" t="inlineStr">
        <is>
          <t>Active</t>
        </is>
      </c>
      <c r="W2" s="2" t="inlineStr"/>
      <c r="X2" s="2" t="inlineStr">
        <is>
          <t>Former contractor at DHS</t>
        </is>
      </c>
    </row>
    <row r="3">
      <c r="A3" s="5" t="inlineStr">
        <is>
          <t>RC-1002</t>
        </is>
      </c>
      <c r="B3" s="5" t="inlineStr">
        <is>
          <t>Maria</t>
        </is>
      </c>
      <c r="C3" s="5" t="inlineStr">
        <is>
          <t>Santos</t>
        </is>
      </c>
      <c r="D3" s="5" t="inlineStr">
        <is>
          <t>m.santos@email.com</t>
        </is>
      </c>
      <c r="E3" s="5" t="inlineStr">
        <is>
          <t>504-555-0202</t>
        </is>
      </c>
      <c r="F3" s="5" t="inlineStr">
        <is>
          <t>Job Board</t>
        </is>
      </c>
      <c r="G3" s="5" t="inlineStr">
        <is>
          <t>Systems Administrator</t>
        </is>
      </c>
      <c r="H3" s="5" t="inlineStr">
        <is>
          <t>IT-SysAdmin III</t>
        </is>
      </c>
      <c r="I3" s="5" t="inlineStr">
        <is>
          <t>Secret</t>
        </is>
      </c>
      <c r="J3" s="10" t="n">
        <v>46068</v>
      </c>
      <c r="K3" s="5" t="inlineStr">
        <is>
          <t>David Chen</t>
        </is>
      </c>
      <c r="L3" s="5" t="inlineStr">
        <is>
          <t>Clearance Pending</t>
        </is>
      </c>
      <c r="M3" s="10" t="n">
        <v>46101</v>
      </c>
      <c r="N3" s="54">
        <f>IF(M3="","",TODAY()-M3)</f>
        <v/>
      </c>
      <c r="O3" s="5" t="inlineStr">
        <is>
          <t>Linux/RHEL certified, 8 yrs exp</t>
        </is>
      </c>
      <c r="P3" s="5" t="inlineStr">
        <is>
          <t>Yes</t>
        </is>
      </c>
      <c r="Q3" s="11" t="n">
        <v>95000</v>
      </c>
      <c r="R3" s="11" t="n">
        <v>92000</v>
      </c>
      <c r="S3" s="10" t="n">
        <v>46091</v>
      </c>
      <c r="T3" s="10" t="n">
        <v>46093</v>
      </c>
      <c r="U3" s="10" t="n">
        <v>46143</v>
      </c>
      <c r="V3" s="5" t="inlineStr">
        <is>
          <t>Active</t>
        </is>
      </c>
      <c r="W3" s="5" t="inlineStr"/>
      <c r="X3" s="5" t="inlineStr">
        <is>
          <t>Currently holds interim Secret</t>
        </is>
      </c>
    </row>
    <row r="4">
      <c r="A4" s="2" t="inlineStr">
        <is>
          <t>RC-1003</t>
        </is>
      </c>
      <c r="B4" s="2" t="inlineStr">
        <is>
          <t>Robert</t>
        </is>
      </c>
      <c r="C4" s="2" t="inlineStr">
        <is>
          <t>Jackson</t>
        </is>
      </c>
      <c r="D4" s="2" t="inlineStr">
        <is>
          <t>r.jackson@email.com</t>
        </is>
      </c>
      <c r="E4" s="2" t="inlineStr">
        <is>
          <t>225-555-0303</t>
        </is>
      </c>
      <c r="F4" s="2" t="inlineStr">
        <is>
          <t>Agency</t>
        </is>
      </c>
      <c r="G4" s="2" t="inlineStr">
        <is>
          <t>Cybersecurity Analyst</t>
        </is>
      </c>
      <c r="H4" s="2" t="inlineStr">
        <is>
          <t>IT-Cyber II</t>
        </is>
      </c>
      <c r="I4" s="2" t="inlineStr">
        <is>
          <t>Top Secret</t>
        </is>
      </c>
      <c r="J4" s="8" t="n">
        <v>46091</v>
      </c>
      <c r="K4" s="2" t="inlineStr">
        <is>
          <t>Sarah Mitchell</t>
        </is>
      </c>
      <c r="L4" s="2" t="inlineStr">
        <is>
          <t>Interviewed</t>
        </is>
      </c>
      <c r="M4" s="8" t="n">
        <v>46127</v>
      </c>
      <c r="N4" s="53">
        <f>IF(M4="","",TODAY()-M4)</f>
        <v/>
      </c>
      <c r="O4" s="2" t="inlineStr">
        <is>
          <t>CISSP certified, SOC experience</t>
        </is>
      </c>
      <c r="P4" s="2" t="inlineStr">
        <is>
          <t>Yes</t>
        </is>
      </c>
      <c r="Q4" s="9" t="n">
        <v>110000</v>
      </c>
      <c r="R4" s="9" t="n"/>
      <c r="S4" s="8" t="n"/>
      <c r="T4" s="8" t="n"/>
      <c r="U4" s="8" t="n"/>
      <c r="V4" s="2" t="inlineStr">
        <is>
          <t>Active</t>
        </is>
      </c>
      <c r="W4" s="2" t="inlineStr"/>
      <c r="X4" s="2" t="inlineStr">
        <is>
          <t>Panel interview completed 4/15</t>
        </is>
      </c>
    </row>
    <row r="5">
      <c r="A5" s="5" t="inlineStr">
        <is>
          <t>RC-1004</t>
        </is>
      </c>
      <c r="B5" s="5" t="inlineStr">
        <is>
          <t>Tanya</t>
        </is>
      </c>
      <c r="C5" s="5" t="inlineStr">
        <is>
          <t>Brooks</t>
        </is>
      </c>
      <c r="D5" s="5" t="inlineStr">
        <is>
          <t>t.brooks@email.com</t>
        </is>
      </c>
      <c r="E5" s="5" t="inlineStr">
        <is>
          <t>318-555-0404</t>
        </is>
      </c>
      <c r="F5" s="5" t="inlineStr">
        <is>
          <t>Internal</t>
        </is>
      </c>
      <c r="G5" s="5" t="inlineStr">
        <is>
          <t>Program Analyst</t>
        </is>
      </c>
      <c r="H5" s="5" t="inlineStr">
        <is>
          <t>Analyst-Program II</t>
        </is>
      </c>
      <c r="I5" s="5" t="inlineStr">
        <is>
          <t>Public Trust</t>
        </is>
      </c>
      <c r="J5" s="10" t="n">
        <v>46086</v>
      </c>
      <c r="K5" s="5" t="inlineStr">
        <is>
          <t>David Chen</t>
        </is>
      </c>
      <c r="L5" s="5" t="inlineStr">
        <is>
          <t>Offer Extended</t>
        </is>
      </c>
      <c r="M5" s="10" t="n">
        <v>46124</v>
      </c>
      <c r="N5" s="54">
        <f>IF(M5="","",TODAY()-M5)</f>
        <v/>
      </c>
      <c r="O5" s="5" t="inlineStr">
        <is>
          <t>PMP certified, strong comms</t>
        </is>
      </c>
      <c r="P5" s="5" t="inlineStr">
        <is>
          <t>Yes</t>
        </is>
      </c>
      <c r="Q5" s="11" t="n">
        <v>78000</v>
      </c>
      <c r="R5" s="11" t="n">
        <v>76000</v>
      </c>
      <c r="S5" s="10" t="n">
        <v>46124</v>
      </c>
      <c r="T5" s="10" t="n"/>
      <c r="U5" s="10" t="n">
        <v>46162</v>
      </c>
      <c r="V5" s="5" t="inlineStr">
        <is>
          <t>Active</t>
        </is>
      </c>
      <c r="W5" s="5" t="inlineStr"/>
      <c r="X5" s="5" t="inlineStr">
        <is>
          <t>Awaiting offer response</t>
        </is>
      </c>
    </row>
    <row r="6">
      <c r="A6" s="2" t="inlineStr">
        <is>
          <t>RC-1005</t>
        </is>
      </c>
      <c r="B6" s="2" t="inlineStr">
        <is>
          <t>Kevin</t>
        </is>
      </c>
      <c r="C6" s="2" t="inlineStr">
        <is>
          <t>Tran</t>
        </is>
      </c>
      <c r="D6" s="2" t="inlineStr">
        <is>
          <t>k.tran@email.com</t>
        </is>
      </c>
      <c r="E6" s="2" t="inlineStr">
        <is>
          <t>713-555-0505</t>
        </is>
      </c>
      <c r="F6" s="2" t="inlineStr">
        <is>
          <t>Job Board</t>
        </is>
      </c>
      <c r="G6" s="2" t="inlineStr">
        <is>
          <t>Network Engineer</t>
        </is>
      </c>
      <c r="H6" s="2" t="inlineStr">
        <is>
          <t>IT-Network III</t>
        </is>
      </c>
      <c r="I6" s="2" t="inlineStr">
        <is>
          <t>Secret</t>
        </is>
      </c>
      <c r="J6" s="8" t="n">
        <v>46073</v>
      </c>
      <c r="K6" s="2" t="inlineStr">
        <is>
          <t>Sarah Mitchell</t>
        </is>
      </c>
      <c r="L6" s="2" t="inlineStr">
        <is>
          <t>Deployed</t>
        </is>
      </c>
      <c r="M6" s="8" t="n">
        <v>46113</v>
      </c>
      <c r="N6" s="53">
        <f>IF(M6="","",TODAY()-M6)</f>
        <v/>
      </c>
      <c r="O6" s="2" t="inlineStr">
        <is>
          <t>CCNP, 10 yrs federal exp</t>
        </is>
      </c>
      <c r="P6" s="2" t="inlineStr">
        <is>
          <t>Yes</t>
        </is>
      </c>
      <c r="Q6" s="9" t="n">
        <v>105000</v>
      </c>
      <c r="R6" s="9" t="n">
        <v>102000</v>
      </c>
      <c r="S6" s="8" t="n">
        <v>46086</v>
      </c>
      <c r="T6" s="8" t="n">
        <v>46088</v>
      </c>
      <c r="U6" s="8" t="n">
        <v>46113</v>
      </c>
      <c r="V6" s="2" t="inlineStr">
        <is>
          <t>Hired</t>
        </is>
      </c>
      <c r="W6" s="2" t="inlineStr"/>
      <c r="X6" s="2" t="inlineStr">
        <is>
          <t>Onboarded successfully</t>
        </is>
      </c>
    </row>
    <row r="7">
      <c r="A7" s="5" t="inlineStr">
        <is>
          <t>RC-1006</t>
        </is>
      </c>
      <c r="B7" s="5" t="inlineStr">
        <is>
          <t>Diana</t>
        </is>
      </c>
      <c r="C7" s="5" t="inlineStr">
        <is>
          <t>Morris</t>
        </is>
      </c>
      <c r="D7" s="5" t="inlineStr">
        <is>
          <t>d.morris@email.com</t>
        </is>
      </c>
      <c r="E7" s="5" t="inlineStr">
        <is>
          <t>501-555-0606</t>
        </is>
      </c>
      <c r="F7" s="5" t="inlineStr">
        <is>
          <t>Referral</t>
        </is>
      </c>
      <c r="G7" s="5" t="inlineStr">
        <is>
          <t>Technical Writer</t>
        </is>
      </c>
      <c r="H7" s="5" t="inlineStr">
        <is>
          <t>Admin-TechWriter II</t>
        </is>
      </c>
      <c r="I7" s="5" t="inlineStr">
        <is>
          <t>Public Trust</t>
        </is>
      </c>
      <c r="J7" s="10" t="n">
        <v>46096</v>
      </c>
      <c r="K7" s="5" t="inlineStr">
        <is>
          <t>Lisa Park</t>
        </is>
      </c>
      <c r="L7" s="5" t="inlineStr">
        <is>
          <t>Screened</t>
        </is>
      </c>
      <c r="M7" s="10" t="n">
        <v>46113</v>
      </c>
      <c r="N7" s="54">
        <f>IF(M7="","",TODAY()-M7)</f>
        <v/>
      </c>
      <c r="O7" s="5" t="inlineStr">
        <is>
          <t>DITA/XML expertise</t>
        </is>
      </c>
      <c r="P7" s="5" t="inlineStr">
        <is>
          <t>Yes</t>
        </is>
      </c>
      <c r="Q7" s="11" t="n">
        <v>65000</v>
      </c>
      <c r="R7" s="11" t="n"/>
      <c r="S7" s="10" t="n"/>
      <c r="T7" s="10" t="n"/>
      <c r="U7" s="10" t="n"/>
      <c r="V7" s="5" t="inlineStr">
        <is>
          <t>Active</t>
        </is>
      </c>
      <c r="W7" s="5" t="inlineStr"/>
      <c r="X7" s="5" t="inlineStr">
        <is>
          <t>Needs interview scheduling</t>
        </is>
      </c>
    </row>
    <row r="8">
      <c r="A8" s="2" t="inlineStr">
        <is>
          <t>RC-1007</t>
        </is>
      </c>
      <c r="B8" s="2" t="inlineStr">
        <is>
          <t>Andre</t>
        </is>
      </c>
      <c r="C8" s="2" t="inlineStr">
        <is>
          <t>Williams</t>
        </is>
      </c>
      <c r="D8" s="2" t="inlineStr">
        <is>
          <t>a.williams@email.com</t>
        </is>
      </c>
      <c r="E8" s="2" t="inlineStr">
        <is>
          <t>318-555-0707</t>
        </is>
      </c>
      <c r="F8" s="2" t="inlineStr">
        <is>
          <t>Agency</t>
        </is>
      </c>
      <c r="G8" s="2" t="inlineStr">
        <is>
          <t>Database Administrator</t>
        </is>
      </c>
      <c r="H8" s="2" t="inlineStr">
        <is>
          <t>IT-DBA III</t>
        </is>
      </c>
      <c r="I8" s="2" t="inlineStr">
        <is>
          <t>TS-SCI</t>
        </is>
      </c>
      <c r="J8" s="8" t="n">
        <v>46042</v>
      </c>
      <c r="K8" s="2" t="inlineStr">
        <is>
          <t>David Chen</t>
        </is>
      </c>
      <c r="L8" s="2" t="inlineStr">
        <is>
          <t>Clearance Pending</t>
        </is>
      </c>
      <c r="M8" s="8" t="n">
        <v>46082</v>
      </c>
      <c r="N8" s="53">
        <f>IF(M8="","",TODAY()-M8)</f>
        <v/>
      </c>
      <c r="O8" s="2" t="inlineStr">
        <is>
          <t>Oracle/PostgreSQL expert</t>
        </is>
      </c>
      <c r="P8" s="2" t="inlineStr">
        <is>
          <t>Yes</t>
        </is>
      </c>
      <c r="Q8" s="9" t="n">
        <v>120000</v>
      </c>
      <c r="R8" s="9" t="n">
        <v>115000</v>
      </c>
      <c r="S8" s="8" t="n">
        <v>46068</v>
      </c>
      <c r="T8" s="8" t="n">
        <v>46071</v>
      </c>
      <c r="U8" s="8" t="n">
        <v>46174</v>
      </c>
      <c r="V8" s="2" t="inlineStr">
        <is>
          <t>Active</t>
        </is>
      </c>
      <c r="W8" s="2" t="inlineStr"/>
      <c r="X8" s="2" t="inlineStr">
        <is>
          <t>TS-SCI investigation in progress</t>
        </is>
      </c>
    </row>
    <row r="9">
      <c r="A9" s="5" t="inlineStr">
        <is>
          <t>RC-1008</t>
        </is>
      </c>
      <c r="B9" s="5" t="inlineStr">
        <is>
          <t>Jennifer</t>
        </is>
      </c>
      <c r="C9" s="5" t="inlineStr">
        <is>
          <t>Hawkins</t>
        </is>
      </c>
      <c r="D9" s="5" t="inlineStr">
        <is>
          <t>j.hawkins@email.com</t>
        </is>
      </c>
      <c r="E9" s="5" t="inlineStr">
        <is>
          <t>214-555-0808</t>
        </is>
      </c>
      <c r="F9" s="5" t="inlineStr">
        <is>
          <t>Job Board</t>
        </is>
      </c>
      <c r="G9" s="5" t="inlineStr">
        <is>
          <t>Project Manager</t>
        </is>
      </c>
      <c r="H9" s="5" t="inlineStr">
        <is>
          <t>PM-III</t>
        </is>
      </c>
      <c r="I9" s="5" t="inlineStr">
        <is>
          <t>Secret</t>
        </is>
      </c>
      <c r="J9" s="10" t="n">
        <v>46101</v>
      </c>
      <c r="K9" s="5" t="inlineStr">
        <is>
          <t>Lisa Park</t>
        </is>
      </c>
      <c r="L9" s="5" t="inlineStr">
        <is>
          <t>Interview Scheduled</t>
        </is>
      </c>
      <c r="M9" s="10" t="n">
        <v>46130</v>
      </c>
      <c r="N9" s="54">
        <f>IF(M9="","",TODAY()-M9)</f>
        <v/>
      </c>
      <c r="O9" s="5" t="inlineStr">
        <is>
          <t>PMP, Agile certified</t>
        </is>
      </c>
      <c r="P9" s="5" t="inlineStr">
        <is>
          <t>Yes</t>
        </is>
      </c>
      <c r="Q9" s="11" t="n">
        <v>98000</v>
      </c>
      <c r="R9" s="11" t="n"/>
      <c r="S9" s="10" t="n"/>
      <c r="T9" s="10" t="n"/>
      <c r="U9" s="10" t="n"/>
      <c r="V9" s="5" t="inlineStr">
        <is>
          <t>Active</t>
        </is>
      </c>
      <c r="W9" s="5" t="inlineStr"/>
      <c r="X9" s="5" t="inlineStr">
        <is>
          <t>Panel interview 4/22</t>
        </is>
      </c>
    </row>
    <row r="10">
      <c r="A10" s="2" t="inlineStr">
        <is>
          <t>RC-1009</t>
        </is>
      </c>
      <c r="B10" s="2" t="inlineStr">
        <is>
          <t>Carlos</t>
        </is>
      </c>
      <c r="C10" s="2" t="inlineStr">
        <is>
          <t>Rivera</t>
        </is>
      </c>
      <c r="D10" s="2" t="inlineStr">
        <is>
          <t>c.rivera@email.com</t>
        </is>
      </c>
      <c r="E10" s="2" t="inlineStr">
        <is>
          <t>210-555-0909</t>
        </is>
      </c>
      <c r="F10" s="2" t="inlineStr">
        <is>
          <t>Referral</t>
        </is>
      </c>
      <c r="G10" s="2" t="inlineStr">
        <is>
          <t>Service Desk Lead</t>
        </is>
      </c>
      <c r="H10" s="2" t="inlineStr">
        <is>
          <t>SCA-Help Desk III</t>
        </is>
      </c>
      <c r="I10" s="2" t="inlineStr">
        <is>
          <t>Public Trust</t>
        </is>
      </c>
      <c r="J10" s="8" t="n">
        <v>46106</v>
      </c>
      <c r="K10" s="2" t="inlineStr">
        <is>
          <t>Sarah Mitchell</t>
        </is>
      </c>
      <c r="L10" s="2" t="inlineStr">
        <is>
          <t>Scored</t>
        </is>
      </c>
      <c r="M10" s="8" t="n">
        <v>46128</v>
      </c>
      <c r="N10" s="53">
        <f>IF(M10="","",TODAY()-M10)</f>
        <v/>
      </c>
      <c r="O10" s="2" t="inlineStr">
        <is>
          <t>ITIL v4, team lead exp</t>
        </is>
      </c>
      <c r="P10" s="2" t="inlineStr">
        <is>
          <t>Yes</t>
        </is>
      </c>
      <c r="Q10" s="9" t="n">
        <v>72000</v>
      </c>
      <c r="R10" s="9" t="n"/>
      <c r="S10" s="8" t="n"/>
      <c r="T10" s="8" t="n"/>
      <c r="U10" s="8" t="n"/>
      <c r="V10" s="2" t="inlineStr">
        <is>
          <t>Active</t>
        </is>
      </c>
      <c r="W10" s="2" t="inlineStr"/>
      <c r="X10" s="2" t="inlineStr">
        <is>
          <t>Strong scores, ready for offer</t>
        </is>
      </c>
    </row>
    <row r="11">
      <c r="A11" s="5" t="inlineStr">
        <is>
          <t>RC-1010</t>
        </is>
      </c>
      <c r="B11" s="5" t="inlineStr">
        <is>
          <t>Patricia</t>
        </is>
      </c>
      <c r="C11" s="5" t="inlineStr">
        <is>
          <t>Nguyen</t>
        </is>
      </c>
      <c r="D11" s="5" t="inlineStr">
        <is>
          <t>p.nguyen@email.com</t>
        </is>
      </c>
      <c r="E11" s="5" t="inlineStr">
        <is>
          <t>832-555-1010</t>
        </is>
      </c>
      <c r="F11" s="5" t="inlineStr">
        <is>
          <t>Internal</t>
        </is>
      </c>
      <c r="G11" s="5" t="inlineStr">
        <is>
          <t>Quality Assurance Analyst</t>
        </is>
      </c>
      <c r="H11" s="5" t="inlineStr">
        <is>
          <t>IT-QA II</t>
        </is>
      </c>
      <c r="I11" s="5" t="inlineStr">
        <is>
          <t>Public Trust</t>
        </is>
      </c>
      <c r="J11" s="10" t="n">
        <v>46113</v>
      </c>
      <c r="K11" s="5" t="inlineStr">
        <is>
          <t>David Chen</t>
        </is>
      </c>
      <c r="L11" s="5" t="inlineStr">
        <is>
          <t>Sourced</t>
        </is>
      </c>
      <c r="M11" s="10" t="n">
        <v>46113</v>
      </c>
      <c r="N11" s="54">
        <f>IF(M11="","",TODAY()-M11)</f>
        <v/>
      </c>
      <c r="O11" s="5" t="inlineStr"/>
      <c r="P11" s="5" t="inlineStr">
        <is>
          <t>No</t>
        </is>
      </c>
      <c r="Q11" s="11" t="n">
        <v>70000</v>
      </c>
      <c r="R11" s="11" t="n"/>
      <c r="S11" s="10" t="n"/>
      <c r="T11" s="10" t="n"/>
      <c r="U11" s="10" t="n"/>
      <c r="V11" s="5" t="inlineStr">
        <is>
          <t>Active</t>
        </is>
      </c>
      <c r="W11" s="5" t="inlineStr"/>
      <c r="X11" s="5" t="inlineStr">
        <is>
          <t>Internal transfer candidate</t>
        </is>
      </c>
    </row>
    <row r="12">
      <c r="A12" s="2" t="inlineStr">
        <is>
          <t>RC-1011</t>
        </is>
      </c>
      <c r="B12" s="2" t="inlineStr">
        <is>
          <t>Michael</t>
        </is>
      </c>
      <c r="C12" s="2" t="inlineStr">
        <is>
          <t>Foster</t>
        </is>
      </c>
      <c r="D12" s="2" t="inlineStr">
        <is>
          <t>m.foster@email.com</t>
        </is>
      </c>
      <c r="E12" s="2" t="inlineStr">
        <is>
          <t>318-555-1111</t>
        </is>
      </c>
      <c r="F12" s="2" t="inlineStr">
        <is>
          <t>Job Board</t>
        </is>
      </c>
      <c r="G12" s="2" t="inlineStr">
        <is>
          <t>Cloud Engineer</t>
        </is>
      </c>
      <c r="H12" s="2" t="inlineStr">
        <is>
          <t>IT-Cloud III</t>
        </is>
      </c>
      <c r="I12" s="2" t="inlineStr">
        <is>
          <t>Top Secret</t>
        </is>
      </c>
      <c r="J12" s="8" t="n">
        <v>46063</v>
      </c>
      <c r="K12" s="2" t="inlineStr">
        <is>
          <t>Lisa Park</t>
        </is>
      </c>
      <c r="L12" s="2" t="inlineStr">
        <is>
          <t>Withdrawn</t>
        </is>
      </c>
      <c r="M12" s="8" t="n">
        <v>46106</v>
      </c>
      <c r="N12" s="53">
        <f>IF(M12="","",TODAY()-M12)</f>
        <v/>
      </c>
      <c r="O12" s="2" t="inlineStr">
        <is>
          <t>AWS Solutions Architect cert</t>
        </is>
      </c>
      <c r="P12" s="2" t="inlineStr">
        <is>
          <t>Yes</t>
        </is>
      </c>
      <c r="Q12" s="9" t="n">
        <v>130000</v>
      </c>
      <c r="R12" s="9" t="n">
        <v>125000</v>
      </c>
      <c r="S12" s="8" t="n">
        <v>46096</v>
      </c>
      <c r="T12" s="8" t="n"/>
      <c r="U12" s="8" t="n"/>
      <c r="V12" s="2" t="inlineStr">
        <is>
          <t>Withdrawn</t>
        </is>
      </c>
      <c r="W12" s="2" t="inlineStr">
        <is>
          <t>Accepted other offer</t>
        </is>
      </c>
      <c r="X12" s="2" t="inlineStr">
        <is>
          <t>Counter-offer not approved</t>
        </is>
      </c>
    </row>
    <row r="13">
      <c r="A13" s="5" t="inlineStr">
        <is>
          <t>RC-1012</t>
        </is>
      </c>
      <c r="B13" s="5" t="inlineStr">
        <is>
          <t>Angela</t>
        </is>
      </c>
      <c r="C13" s="5" t="inlineStr">
        <is>
          <t>Price</t>
        </is>
      </c>
      <c r="D13" s="5" t="inlineStr">
        <is>
          <t>a.price@email.com</t>
        </is>
      </c>
      <c r="E13" s="5" t="inlineStr">
        <is>
          <t>504-555-1212</t>
        </is>
      </c>
      <c r="F13" s="5" t="inlineStr">
        <is>
          <t>Agency</t>
        </is>
      </c>
      <c r="G13" s="5" t="inlineStr">
        <is>
          <t>Information Assurance Analyst</t>
        </is>
      </c>
      <c r="H13" s="5" t="inlineStr">
        <is>
          <t>IT-IA II</t>
        </is>
      </c>
      <c r="I13" s="5" t="inlineStr">
        <is>
          <t>Secret</t>
        </is>
      </c>
      <c r="J13" s="10" t="n">
        <v>46093</v>
      </c>
      <c r="K13" s="5" t="inlineStr">
        <is>
          <t>Sarah Mitchell</t>
        </is>
      </c>
      <c r="L13" s="5" t="inlineStr">
        <is>
          <t>Offer Accepted</t>
        </is>
      </c>
      <c r="M13" s="10" t="n">
        <v>46120</v>
      </c>
      <c r="N13" s="54">
        <f>IF(M13="","",TODAY()-M13)</f>
        <v/>
      </c>
      <c r="O13" s="5" t="inlineStr">
        <is>
          <t>Security+ CE, RMF experience</t>
        </is>
      </c>
      <c r="P13" s="5" t="inlineStr">
        <is>
          <t>Yes</t>
        </is>
      </c>
      <c r="Q13" s="11" t="n">
        <v>88000</v>
      </c>
      <c r="R13" s="11" t="n">
        <v>85000</v>
      </c>
      <c r="S13" s="10" t="n">
        <v>46113</v>
      </c>
      <c r="T13" s="10" t="n">
        <v>46120</v>
      </c>
      <c r="U13" s="10" t="n">
        <v>46152</v>
      </c>
      <c r="V13" s="5" t="inlineStr">
        <is>
          <t>Active</t>
        </is>
      </c>
      <c r="W13" s="5" t="inlineStr"/>
      <c r="X13" s="5" t="inlineStr">
        <is>
          <t>Initiating clearance process</t>
        </is>
      </c>
    </row>
    <row r="14">
      <c r="A14" s="2" t="inlineStr">
        <is>
          <t>RC-1013</t>
        </is>
      </c>
      <c r="B14" s="2" t="inlineStr">
        <is>
          <t>Thomas</t>
        </is>
      </c>
      <c r="C14" s="2" t="inlineStr">
        <is>
          <t>Clark</t>
        </is>
      </c>
      <c r="D14" s="2" t="inlineStr">
        <is>
          <t>t.clark@email.com</t>
        </is>
      </c>
      <c r="E14" s="2" t="inlineStr">
        <is>
          <t>281-555-1313</t>
        </is>
      </c>
      <c r="F14" s="2" t="inlineStr">
        <is>
          <t>Referral</t>
        </is>
      </c>
      <c r="G14" s="2" t="inlineStr">
        <is>
          <t>DevOps Engineer</t>
        </is>
      </c>
      <c r="H14" s="2" t="inlineStr">
        <is>
          <t>IT-DevOps III</t>
        </is>
      </c>
      <c r="I14" s="2" t="inlineStr">
        <is>
          <t>Secret</t>
        </is>
      </c>
      <c r="J14" s="8" t="n">
        <v>46099</v>
      </c>
      <c r="K14" s="2" t="inlineStr">
        <is>
          <t>David Chen</t>
        </is>
      </c>
      <c r="L14" s="2" t="inlineStr">
        <is>
          <t>Clearance Initiated</t>
        </is>
      </c>
      <c r="M14" s="8" t="n">
        <v>46127</v>
      </c>
      <c r="N14" s="53">
        <f>IF(M14="","",TODAY()-M14)</f>
        <v/>
      </c>
      <c r="O14" s="2" t="inlineStr">
        <is>
          <t>Kubernetes/Docker, CI/CD pipelines</t>
        </is>
      </c>
      <c r="P14" s="2" t="inlineStr">
        <is>
          <t>Yes</t>
        </is>
      </c>
      <c r="Q14" s="9" t="n">
        <v>115000</v>
      </c>
      <c r="R14" s="9" t="n">
        <v>112000</v>
      </c>
      <c r="S14" s="8" t="n">
        <v>46117</v>
      </c>
      <c r="T14" s="8" t="n">
        <v>46119</v>
      </c>
      <c r="U14" s="8" t="n">
        <v>46172</v>
      </c>
      <c r="V14" s="2" t="inlineStr">
        <is>
          <t>Active</t>
        </is>
      </c>
      <c r="W14" s="2" t="inlineStr"/>
      <c r="X14" s="2" t="inlineStr">
        <is>
          <t>e-QIP account created</t>
        </is>
      </c>
    </row>
    <row r="15">
      <c r="A15" s="5" t="inlineStr">
        <is>
          <t>RC-1014</t>
        </is>
      </c>
      <c r="B15" s="5" t="inlineStr">
        <is>
          <t>Samantha</t>
        </is>
      </c>
      <c r="C15" s="5" t="inlineStr">
        <is>
          <t>Reed</t>
        </is>
      </c>
      <c r="D15" s="5" t="inlineStr">
        <is>
          <t>s.reed@email.com</t>
        </is>
      </c>
      <c r="E15" s="5" t="inlineStr">
        <is>
          <t>318-555-1414</t>
        </is>
      </c>
      <c r="F15" s="5" t="inlineStr">
        <is>
          <t>Job Board</t>
        </is>
      </c>
      <c r="G15" s="5" t="inlineStr">
        <is>
          <t>Business Analyst</t>
        </is>
      </c>
      <c r="H15" s="5" t="inlineStr">
        <is>
          <t>Analyst-Business II</t>
        </is>
      </c>
      <c r="I15" s="5" t="inlineStr">
        <is>
          <t>Public Trust</t>
        </is>
      </c>
      <c r="J15" s="10" t="n">
        <v>46117</v>
      </c>
      <c r="K15" s="5" t="inlineStr">
        <is>
          <t>Lisa Park</t>
        </is>
      </c>
      <c r="L15" s="5" t="inlineStr">
        <is>
          <t>Screened</t>
        </is>
      </c>
      <c r="M15" s="10" t="n">
        <v>46122</v>
      </c>
      <c r="N15" s="54">
        <f>IF(M15="","",TODAY()-M15)</f>
        <v/>
      </c>
      <c r="O15" s="5" t="inlineStr">
        <is>
          <t>Healthcare IT background</t>
        </is>
      </c>
      <c r="P15" s="5" t="inlineStr">
        <is>
          <t>Yes</t>
        </is>
      </c>
      <c r="Q15" s="11" t="n">
        <v>75000</v>
      </c>
      <c r="R15" s="11" t="n"/>
      <c r="S15" s="10" t="n"/>
      <c r="T15" s="10" t="n"/>
      <c r="U15" s="10" t="n"/>
      <c r="V15" s="5" t="inlineStr">
        <is>
          <t>Active</t>
        </is>
      </c>
      <c r="W15" s="5" t="inlineStr"/>
      <c r="X15" s="5" t="inlineStr">
        <is>
          <t>Schedule technical interview</t>
        </is>
      </c>
    </row>
    <row r="16">
      <c r="A16" s="2" t="inlineStr">
        <is>
          <t>RC-1015</t>
        </is>
      </c>
      <c r="B16" s="2" t="inlineStr">
        <is>
          <t>William</t>
        </is>
      </c>
      <c r="C16" s="2" t="inlineStr">
        <is>
          <t>Thompson</t>
        </is>
      </c>
      <c r="D16" s="2" t="inlineStr">
        <is>
          <t>w.thompson@email.com</t>
        </is>
      </c>
      <c r="E16" s="2" t="inlineStr">
        <is>
          <t>337-555-1515</t>
        </is>
      </c>
      <c r="F16" s="2" t="inlineStr">
        <is>
          <t>Agency</t>
        </is>
      </c>
      <c r="G16" s="2" t="inlineStr">
        <is>
          <t>SOC Analyst</t>
        </is>
      </c>
      <c r="H16" s="2" t="inlineStr">
        <is>
          <t>IT-Cyber I</t>
        </is>
      </c>
      <c r="I16" s="2" t="inlineStr">
        <is>
          <t>Top Secret</t>
        </is>
      </c>
      <c r="J16" s="8" t="n">
        <v>46054</v>
      </c>
      <c r="K16" s="2" t="inlineStr">
        <is>
          <t>Sarah Mitchell</t>
        </is>
      </c>
      <c r="L16" s="2" t="inlineStr">
        <is>
          <t>Clearance Pending</t>
        </is>
      </c>
      <c r="M16" s="8" t="n">
        <v>46091</v>
      </c>
      <c r="N16" s="53">
        <f>IF(M16="","",TODAY()-M16)</f>
        <v/>
      </c>
      <c r="O16" s="2" t="inlineStr">
        <is>
          <t>Splunk/SIEM, Sec+ certified</t>
        </is>
      </c>
      <c r="P16" s="2" t="inlineStr">
        <is>
          <t>Yes</t>
        </is>
      </c>
      <c r="Q16" s="9" t="n">
        <v>85000</v>
      </c>
      <c r="R16" s="9" t="n">
        <v>82000</v>
      </c>
      <c r="S16" s="8" t="n">
        <v>46078</v>
      </c>
      <c r="T16" s="8" t="n">
        <v>46081</v>
      </c>
      <c r="U16" s="8" t="n">
        <v>46157</v>
      </c>
      <c r="V16" s="2" t="inlineStr">
        <is>
          <t>Active</t>
        </is>
      </c>
      <c r="W16" s="2" t="inlineStr"/>
      <c r="X16" s="2" t="inlineStr">
        <is>
          <t>Investigation active since 3/10</t>
        </is>
      </c>
    </row>
  </sheetData>
  <dataValidations count="5">
    <dataValidation sqref="F2:F100" showDropDown="0" showInputMessage="0" showErrorMessage="0" allowBlank="1" type="list">
      <formula1>"Referral,Job Board,Agency,Internal"</formula1>
    </dataValidation>
    <dataValidation sqref="I2:I100" showDropDown="0" showInputMessage="0" showErrorMessage="0" allowBlank="1" type="list">
      <formula1>"Public Trust,Secret,Top Secret,TS-SCI"</formula1>
    </dataValidation>
    <dataValidation sqref="L2:L100" showDropDown="0" showInputMessage="0" showErrorMessage="0" allowBlank="1" type="list">
      <formula1>"Sourced,Screened,Interview Scheduled,Interviewed,Scored,Offer Extended,Offer Accepted,Clearance Initiated,Deployed,Withdrawn"</formula1>
    </dataValidation>
    <dataValidation sqref="P2:P100" showDropDown="0" showInputMessage="0" showErrorMessage="0" allowBlank="1" type="list">
      <formula1>"Yes,No"</formula1>
    </dataValidation>
    <dataValidation sqref="V2:V100" showDropDown="0" showInputMessage="0" showErrorMessage="0" allowBlank="1" type="list">
      <formula1>"Active,Hired,Withdrawn,Rejected"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8" customWidth="1" min="9" max="9"/>
    <col width="14" customWidth="1" min="10" max="10"/>
    <col width="22" customWidth="1" min="11" max="11"/>
    <col width="18" customWidth="1" min="12" max="12"/>
    <col width="24" customWidth="1" min="13" max="13"/>
    <col width="12" customWidth="1" min="14" max="14"/>
    <col width="18" customWidth="1" min="15" max="15"/>
    <col width="20" customWidth="1" min="16" max="16"/>
    <col width="30" customWidth="1" min="17" max="17"/>
    <col width="20" customWidth="1" min="18" max="18"/>
    <col width="25" customWidth="1" min="19" max="19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Position Title</t>
        </is>
      </c>
      <c r="D1" s="1" t="inlineStr">
        <is>
          <t>Interview Date</t>
        </is>
      </c>
      <c r="E1" s="1" t="inlineStr">
        <is>
          <t>Interview Type</t>
        </is>
      </c>
      <c r="F1" s="1" t="inlineStr">
        <is>
          <t>Interviewer Name</t>
        </is>
      </c>
      <c r="G1" s="1" t="inlineStr">
        <is>
          <t>Interviewer Role</t>
        </is>
      </c>
      <c r="H1" s="1" t="inlineStr">
        <is>
          <t>Technical Knowledge</t>
        </is>
      </c>
      <c r="I1" s="1" t="inlineStr">
        <is>
          <t>Communication Skills</t>
        </is>
      </c>
      <c r="J1" s="1" t="inlineStr">
        <is>
          <t>Problem Solving</t>
        </is>
      </c>
      <c r="K1" s="1" t="inlineStr">
        <is>
          <t>Customer Service Orientation</t>
        </is>
      </c>
      <c r="L1" s="1" t="inlineStr">
        <is>
          <t>Remote Work Readiness</t>
        </is>
      </c>
      <c r="M1" s="1" t="inlineStr">
        <is>
          <t>Government/Compliance Awareness</t>
        </is>
      </c>
      <c r="N1" s="1" t="inlineStr">
        <is>
          <t>Cultural Fit</t>
        </is>
      </c>
      <c r="O1" s="1" t="inlineStr">
        <is>
          <t>Weighted Total Score</t>
        </is>
      </c>
      <c r="P1" s="1" t="inlineStr">
        <is>
          <t>Overall Recommendation</t>
        </is>
      </c>
      <c r="Q1" s="1" t="inlineStr">
        <is>
          <t>Comments</t>
        </is>
      </c>
      <c r="R1" s="1" t="inlineStr">
        <is>
          <t>Red Flags</t>
        </is>
      </c>
      <c r="S1" s="1" t="inlineStr">
        <is>
          <t>Recommendation Notes</t>
        </is>
      </c>
    </row>
    <row r="2">
      <c r="A2" s="2" t="inlineStr">
        <is>
          <t>RC-1001</t>
        </is>
      </c>
      <c r="B2" s="2" t="inlineStr">
        <is>
          <t>James Whitfield</t>
        </is>
      </c>
      <c r="C2" s="2" t="inlineStr">
        <is>
          <t>IT Help Desk Specialist</t>
        </is>
      </c>
      <c r="D2" s="8" t="n">
        <v>46101</v>
      </c>
      <c r="E2" s="2" t="inlineStr">
        <is>
          <t>Phone Screen</t>
        </is>
      </c>
      <c r="F2" s="2" t="inlineStr">
        <is>
          <t>Sarah Mitchell</t>
        </is>
      </c>
      <c r="G2" s="2" t="inlineStr">
        <is>
          <t>Recruiter</t>
        </is>
      </c>
      <c r="H2" s="12" t="n">
        <v>4</v>
      </c>
      <c r="I2" s="12" t="n">
        <v>4</v>
      </c>
      <c r="J2" s="12" t="n">
        <v>3</v>
      </c>
      <c r="K2" s="12" t="n">
        <v>5</v>
      </c>
      <c r="L2" s="12" t="n">
        <v>4</v>
      </c>
      <c r="M2" s="12" t="n">
        <v>3</v>
      </c>
      <c r="N2" s="12" t="n">
        <v>4</v>
      </c>
      <c r="O2" s="13">
        <f>(H2*0.20+I2*0.10+J2*0.20+K2*0.10+L2*0.15+M2*0.15+N2*0.10)</f>
        <v/>
      </c>
      <c r="P2" s="55" t="inlineStr">
        <is>
          <t>Strong Hire</t>
        </is>
      </c>
      <c r="Q2" s="2" t="inlineStr">
        <is>
          <t>Excellent customer service background</t>
        </is>
      </c>
      <c r="R2" s="2" t="inlineStr">
        <is>
          <t>None</t>
        </is>
      </c>
      <c r="S2" s="2" t="inlineStr">
        <is>
          <t>Recommend for next round</t>
        </is>
      </c>
    </row>
    <row r="3">
      <c r="A3" s="5" t="inlineStr">
        <is>
          <t>RC-1001</t>
        </is>
      </c>
      <c r="B3" s="5" t="inlineStr">
        <is>
          <t>James Whitfield</t>
        </is>
      </c>
      <c r="C3" s="5" t="inlineStr">
        <is>
          <t>IT Help Desk Specialist</t>
        </is>
      </c>
      <c r="D3" s="10" t="n">
        <v>46106</v>
      </c>
      <c r="E3" s="5" t="inlineStr">
        <is>
          <t>Technical</t>
        </is>
      </c>
      <c r="F3" s="5" t="inlineStr">
        <is>
          <t>Mark Reynolds</t>
        </is>
      </c>
      <c r="G3" s="5" t="inlineStr">
        <is>
          <t>Technical Lead</t>
        </is>
      </c>
      <c r="H3" s="14" t="n">
        <v>4</v>
      </c>
      <c r="I3" s="14" t="n">
        <v>4</v>
      </c>
      <c r="J3" s="14" t="n">
        <v>4</v>
      </c>
      <c r="K3" s="14" t="n">
        <v>5</v>
      </c>
      <c r="L3" s="14" t="n">
        <v>4</v>
      </c>
      <c r="M3" s="14" t="n">
        <v>3</v>
      </c>
      <c r="N3" s="14" t="n">
        <v>4</v>
      </c>
      <c r="O3" s="15">
        <f>(H3*0.20+I3*0.10+J3*0.20+K3*0.10+L3*0.15+M3*0.15+N3*0.10)</f>
        <v/>
      </c>
      <c r="P3" s="55" t="inlineStr">
        <is>
          <t>Strong Hire</t>
        </is>
      </c>
      <c r="Q3" s="5" t="inlineStr">
        <is>
          <t>Solid AD/Windows troubleshooting skills</t>
        </is>
      </c>
      <c r="R3" s="5" t="inlineStr">
        <is>
          <t>None</t>
        </is>
      </c>
      <c r="S3" s="5" t="inlineStr">
        <is>
          <t>Ready for offer</t>
        </is>
      </c>
    </row>
    <row r="4">
      <c r="A4" s="2" t="inlineStr">
        <is>
          <t>RC-1002</t>
        </is>
      </c>
      <c r="B4" s="2" t="inlineStr">
        <is>
          <t>Maria Santos</t>
        </is>
      </c>
      <c r="C4" s="2" t="inlineStr">
        <is>
          <t>Systems Administrator</t>
        </is>
      </c>
      <c r="D4" s="8" t="n">
        <v>46082</v>
      </c>
      <c r="E4" s="2" t="inlineStr">
        <is>
          <t>Technical</t>
        </is>
      </c>
      <c r="F4" s="2" t="inlineStr">
        <is>
          <t>John Peters</t>
        </is>
      </c>
      <c r="G4" s="2" t="inlineStr">
        <is>
          <t>Sr. Systems Engineer</t>
        </is>
      </c>
      <c r="H4" s="12" t="n">
        <v>5</v>
      </c>
      <c r="I4" s="12" t="n">
        <v>4</v>
      </c>
      <c r="J4" s="12" t="n">
        <v>5</v>
      </c>
      <c r="K4" s="12" t="n">
        <v>3</v>
      </c>
      <c r="L4" s="12" t="n">
        <v>4</v>
      </c>
      <c r="M4" s="12" t="n">
        <v>4</v>
      </c>
      <c r="N4" s="12" t="n">
        <v>4</v>
      </c>
      <c r="O4" s="13">
        <f>(H4*0.20+I4*0.10+J4*0.20+K4*0.10+L4*0.15+M4*0.15+N4*0.10)</f>
        <v/>
      </c>
      <c r="P4" s="55" t="inlineStr">
        <is>
          <t>Strong Hire</t>
        </is>
      </c>
      <c r="Q4" s="2" t="inlineStr">
        <is>
          <t>Deep Linux expertise, RHEL certified</t>
        </is>
      </c>
      <c r="R4" s="2" t="inlineStr">
        <is>
          <t>None</t>
        </is>
      </c>
      <c r="S4" s="2" t="inlineStr">
        <is>
          <t>Top candidate for SysAdmin role</t>
        </is>
      </c>
    </row>
    <row r="5">
      <c r="A5" s="5" t="inlineStr">
        <is>
          <t>RC-1003</t>
        </is>
      </c>
      <c r="B5" s="5" t="inlineStr">
        <is>
          <t>Robert Jackson</t>
        </is>
      </c>
      <c r="C5" s="5" t="inlineStr">
        <is>
          <t>Cybersecurity Analyst</t>
        </is>
      </c>
      <c r="D5" s="10" t="n">
        <v>46127</v>
      </c>
      <c r="E5" s="5" t="inlineStr">
        <is>
          <t>Panel</t>
        </is>
      </c>
      <c r="F5" s="5" t="inlineStr">
        <is>
          <t>Mark Reynolds</t>
        </is>
      </c>
      <c r="G5" s="5" t="inlineStr">
        <is>
          <t>Technical Lead</t>
        </is>
      </c>
      <c r="H5" s="14" t="n">
        <v>5</v>
      </c>
      <c r="I5" s="14" t="n">
        <v>3</v>
      </c>
      <c r="J5" s="14" t="n">
        <v>5</v>
      </c>
      <c r="K5" s="14" t="n">
        <v>3</v>
      </c>
      <c r="L5" s="14" t="n">
        <v>4</v>
      </c>
      <c r="M5" s="14" t="n">
        <v>5</v>
      </c>
      <c r="N5" s="14" t="n">
        <v>3</v>
      </c>
      <c r="O5" s="15">
        <f>(H5*0.20+I5*0.10+J5*0.20+K5*0.10+L5*0.15+M5*0.15+N5*0.10)</f>
        <v/>
      </c>
      <c r="P5" s="56" t="inlineStr">
        <is>
          <t>Hire</t>
        </is>
      </c>
      <c r="Q5" s="5" t="inlineStr">
        <is>
          <t>Strong technical skills, quiet in panel</t>
        </is>
      </c>
      <c r="R5" s="5" t="inlineStr">
        <is>
          <t>Slightly reserved in group settings</t>
        </is>
      </c>
      <c r="S5" s="5" t="inlineStr">
        <is>
          <t>Solid hire, pair with mentor</t>
        </is>
      </c>
    </row>
    <row r="6">
      <c r="A6" s="2" t="inlineStr">
        <is>
          <t>RC-1005</t>
        </is>
      </c>
      <c r="B6" s="2" t="inlineStr">
        <is>
          <t>Kevin Tran</t>
        </is>
      </c>
      <c r="C6" s="2" t="inlineStr">
        <is>
          <t>Network Engineer</t>
        </is>
      </c>
      <c r="D6" s="8" t="n">
        <v>46081</v>
      </c>
      <c r="E6" s="2" t="inlineStr">
        <is>
          <t>Technical</t>
        </is>
      </c>
      <c r="F6" s="2" t="inlineStr">
        <is>
          <t>John Peters</t>
        </is>
      </c>
      <c r="G6" s="2" t="inlineStr">
        <is>
          <t>Sr. Systems Engineer</t>
        </is>
      </c>
      <c r="H6" s="12" t="n">
        <v>5</v>
      </c>
      <c r="I6" s="12" t="n">
        <v>5</v>
      </c>
      <c r="J6" s="12" t="n">
        <v>4</v>
      </c>
      <c r="K6" s="12" t="n">
        <v>4</v>
      </c>
      <c r="L6" s="12" t="n">
        <v>5</v>
      </c>
      <c r="M6" s="12" t="n">
        <v>5</v>
      </c>
      <c r="N6" s="12" t="n">
        <v>5</v>
      </c>
      <c r="O6" s="13">
        <f>(H6*0.20+I6*0.10+J6*0.20+K6*0.10+L6*0.15+M6*0.15+N6*0.10)</f>
        <v/>
      </c>
      <c r="P6" s="55" t="inlineStr">
        <is>
          <t>Strong Hire</t>
        </is>
      </c>
      <c r="Q6" s="2" t="inlineStr">
        <is>
          <t>Outstanding federal networking experience</t>
        </is>
      </c>
      <c r="R6" s="2" t="inlineStr">
        <is>
          <t>None</t>
        </is>
      </c>
      <c r="S6" s="2" t="inlineStr">
        <is>
          <t>Fast-track for deployment</t>
        </is>
      </c>
    </row>
    <row r="7">
      <c r="A7" s="5" t="inlineStr">
        <is>
          <t>RC-1005</t>
        </is>
      </c>
      <c r="B7" s="5" t="inlineStr">
        <is>
          <t>Kevin Tran</t>
        </is>
      </c>
      <c r="C7" s="5" t="inlineStr">
        <is>
          <t>Network Engineer</t>
        </is>
      </c>
      <c r="D7" s="10" t="n">
        <v>46083</v>
      </c>
      <c r="E7" s="5" t="inlineStr">
        <is>
          <t>Final</t>
        </is>
      </c>
      <c r="F7" s="5" t="inlineStr">
        <is>
          <t>Laura Chen</t>
        </is>
      </c>
      <c r="G7" s="5" t="inlineStr">
        <is>
          <t>Program Manager</t>
        </is>
      </c>
      <c r="H7" s="14" t="n">
        <v>5</v>
      </c>
      <c r="I7" s="14" t="n">
        <v>5</v>
      </c>
      <c r="J7" s="14" t="n">
        <v>4</v>
      </c>
      <c r="K7" s="14" t="n">
        <v>4</v>
      </c>
      <c r="L7" s="14" t="n">
        <v>5</v>
      </c>
      <c r="M7" s="14" t="n">
        <v>5</v>
      </c>
      <c r="N7" s="14" t="n">
        <v>5</v>
      </c>
      <c r="O7" s="15">
        <f>(H7*0.20+I7*0.10+J7*0.20+K7*0.10+L7*0.15+M7*0.15+N7*0.10)</f>
        <v/>
      </c>
      <c r="P7" s="55" t="inlineStr">
        <is>
          <t>Strong Hire</t>
        </is>
      </c>
      <c r="Q7" s="5" t="inlineStr">
        <is>
          <t>Excellent cultural fit, leadership potential</t>
        </is>
      </c>
      <c r="R7" s="5" t="inlineStr">
        <is>
          <t>None</t>
        </is>
      </c>
      <c r="S7" s="5" t="inlineStr">
        <is>
          <t>Extend offer immediately</t>
        </is>
      </c>
    </row>
    <row r="8">
      <c r="A8" s="2" t="inlineStr">
        <is>
          <t>RC-1009</t>
        </is>
      </c>
      <c r="B8" s="2" t="inlineStr">
        <is>
          <t>Carlos Rivera</t>
        </is>
      </c>
      <c r="C8" s="2" t="inlineStr">
        <is>
          <t>Service Desk Lead</t>
        </is>
      </c>
      <c r="D8" s="8" t="n">
        <v>46122</v>
      </c>
      <c r="E8" s="2" t="inlineStr">
        <is>
          <t>Phone Screen</t>
        </is>
      </c>
      <c r="F8" s="2" t="inlineStr">
        <is>
          <t>Lisa Park</t>
        </is>
      </c>
      <c r="G8" s="2" t="inlineStr">
        <is>
          <t>Recruiter</t>
        </is>
      </c>
      <c r="H8" s="12" t="n">
        <v>4</v>
      </c>
      <c r="I8" s="12" t="n">
        <v>5</v>
      </c>
      <c r="J8" s="12" t="n">
        <v>4</v>
      </c>
      <c r="K8" s="12" t="n">
        <v>5</v>
      </c>
      <c r="L8" s="12" t="n">
        <v>4</v>
      </c>
      <c r="M8" s="12" t="n">
        <v>3</v>
      </c>
      <c r="N8" s="12" t="n">
        <v>5</v>
      </c>
      <c r="O8" s="13">
        <f>(H8*0.20+I8*0.10+J8*0.20+K8*0.10+L8*0.15+M8*0.15+N8*0.10)</f>
        <v/>
      </c>
      <c r="P8" s="56" t="inlineStr">
        <is>
          <t>Hire</t>
        </is>
      </c>
      <c r="Q8" s="2" t="inlineStr">
        <is>
          <t>Great leadership presence, ITIL background</t>
        </is>
      </c>
      <c r="R8" s="2" t="inlineStr">
        <is>
          <t>None</t>
        </is>
      </c>
      <c r="S8" s="2" t="inlineStr">
        <is>
          <t>Move to technical interview</t>
        </is>
      </c>
    </row>
    <row r="9">
      <c r="A9" s="5" t="inlineStr">
        <is>
          <t>RC-1009</t>
        </is>
      </c>
      <c r="B9" s="5" t="inlineStr">
        <is>
          <t>Carlos Rivera</t>
        </is>
      </c>
      <c r="C9" s="5" t="inlineStr">
        <is>
          <t>Service Desk Lead</t>
        </is>
      </c>
      <c r="D9" s="10" t="n">
        <v>46128</v>
      </c>
      <c r="E9" s="5" t="inlineStr">
        <is>
          <t>Technical</t>
        </is>
      </c>
      <c r="F9" s="5" t="inlineStr">
        <is>
          <t>Mark Reynolds</t>
        </is>
      </c>
      <c r="G9" s="5" t="inlineStr">
        <is>
          <t>Technical Lead</t>
        </is>
      </c>
      <c r="H9" s="14" t="n">
        <v>4</v>
      </c>
      <c r="I9" s="14" t="n">
        <v>5</v>
      </c>
      <c r="J9" s="14" t="n">
        <v>4</v>
      </c>
      <c r="K9" s="14" t="n">
        <v>5</v>
      </c>
      <c r="L9" s="14" t="n">
        <v>5</v>
      </c>
      <c r="M9" s="14" t="n">
        <v>4</v>
      </c>
      <c r="N9" s="14" t="n">
        <v>5</v>
      </c>
      <c r="O9" s="15">
        <f>(H9*0.20+I9*0.10+J9*0.20+K9*0.10+L9*0.15+M9*0.15+N9*0.10)</f>
        <v/>
      </c>
      <c r="P9" s="55" t="inlineStr">
        <is>
          <t>Strong Hire</t>
        </is>
      </c>
      <c r="Q9" s="5" t="inlineStr">
        <is>
          <t>Demonstrated team management ability</t>
        </is>
      </c>
      <c r="R9" s="5" t="inlineStr">
        <is>
          <t>None</t>
        </is>
      </c>
      <c r="S9" s="5" t="inlineStr">
        <is>
          <t>Ready for offer stage</t>
        </is>
      </c>
    </row>
    <row r="10">
      <c r="A10" s="2" t="inlineStr">
        <is>
          <t>RC-1011</t>
        </is>
      </c>
      <c r="B10" s="2" t="inlineStr">
        <is>
          <t>Michael Foster</t>
        </is>
      </c>
      <c r="C10" s="2" t="inlineStr">
        <is>
          <t>Cloud Engineer</t>
        </is>
      </c>
      <c r="D10" s="8" t="n">
        <v>46091</v>
      </c>
      <c r="E10" s="2" t="inlineStr">
        <is>
          <t>Technical</t>
        </is>
      </c>
      <c r="F10" s="2" t="inlineStr">
        <is>
          <t>John Peters</t>
        </is>
      </c>
      <c r="G10" s="2" t="inlineStr">
        <is>
          <t>Sr. Systems Engineer</t>
        </is>
      </c>
      <c r="H10" s="12" t="n">
        <v>5</v>
      </c>
      <c r="I10" s="12" t="n">
        <v>3</v>
      </c>
      <c r="J10" s="12" t="n">
        <v>5</v>
      </c>
      <c r="K10" s="12" t="n">
        <v>3</v>
      </c>
      <c r="L10" s="12" t="n">
        <v>4</v>
      </c>
      <c r="M10" s="12" t="n">
        <v>4</v>
      </c>
      <c r="N10" s="12" t="n">
        <v>3</v>
      </c>
      <c r="O10" s="13">
        <f>(H10*0.20+I10*0.10+J10*0.20+K10*0.10+L10*0.15+M10*0.15+N10*0.10)</f>
        <v/>
      </c>
      <c r="P10" s="56" t="inlineStr">
        <is>
          <t>Hire</t>
        </is>
      </c>
      <c r="Q10" s="2" t="inlineStr">
        <is>
          <t>Strong AWS skills but salary expectations high</t>
        </is>
      </c>
      <c r="R10" s="2" t="inlineStr">
        <is>
          <t>High salary demands</t>
        </is>
      </c>
      <c r="S10" s="2" t="inlineStr">
        <is>
          <t>Good technically, budget concern</t>
        </is>
      </c>
    </row>
    <row r="11">
      <c r="A11" s="5" t="inlineStr">
        <is>
          <t>RC-1012</t>
        </is>
      </c>
      <c r="B11" s="5" t="inlineStr">
        <is>
          <t>Angela Price</t>
        </is>
      </c>
      <c r="C11" s="5" t="inlineStr">
        <is>
          <t>Information Assurance Analyst</t>
        </is>
      </c>
      <c r="D11" s="10" t="n">
        <v>46109</v>
      </c>
      <c r="E11" s="5" t="inlineStr">
        <is>
          <t>Panel</t>
        </is>
      </c>
      <c r="F11" s="5" t="inlineStr">
        <is>
          <t>Mark Reynolds</t>
        </is>
      </c>
      <c r="G11" s="5" t="inlineStr">
        <is>
          <t>Technical Lead</t>
        </is>
      </c>
      <c r="H11" s="14" t="n">
        <v>4</v>
      </c>
      <c r="I11" s="14" t="n">
        <v>4</v>
      </c>
      <c r="J11" s="14" t="n">
        <v>4</v>
      </c>
      <c r="K11" s="14" t="n">
        <v>4</v>
      </c>
      <c r="L11" s="14" t="n">
        <v>4</v>
      </c>
      <c r="M11" s="14" t="n">
        <v>5</v>
      </c>
      <c r="N11" s="14" t="n">
        <v>4</v>
      </c>
      <c r="O11" s="15">
        <f>(H11*0.20+I11*0.10+J11*0.20+K11*0.10+L11*0.15+M11*0.15+N11*0.10)</f>
        <v/>
      </c>
      <c r="P11" s="56" t="inlineStr">
        <is>
          <t>Hire</t>
        </is>
      </c>
      <c r="Q11" s="5" t="inlineStr">
        <is>
          <t>Solid RMF and NIST experience</t>
        </is>
      </c>
      <c r="R11" s="5" t="inlineStr">
        <is>
          <t>None</t>
        </is>
      </c>
      <c r="S11" s="5" t="inlineStr">
        <is>
          <t>Recommend for offer</t>
        </is>
      </c>
    </row>
  </sheetData>
  <dataValidations count="3">
    <dataValidation sqref="E2:E100" showDropDown="0" showInputMessage="0" showErrorMessage="0" allowBlank="1" type="list">
      <formula1>"Phone Screen,Technical,Panel,Final"</formula1>
    </dataValidation>
    <dataValidation sqref="H2:N100" showDropDown="0" showInputMessage="0" showErrorMessage="0" allowBlank="1" type="list">
      <formula1>"1,2,3,4,5"</formula1>
    </dataValidation>
    <dataValidation sqref="P2:P100" showDropDown="0" showInputMessage="0" showErrorMessage="0" allowBlank="1" type="list">
      <formula1>"Strong Hire,Hire,Maybe,No Hire"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5" customWidth="1" min="17" max="17"/>
    <col width="14" customWidth="1" min="18" max="18"/>
    <col width="18" customWidth="1" min="19" max="19"/>
    <col width="18" customWidth="1" min="20" max="20"/>
    <col width="14" customWidth="1" min="21" max="21"/>
    <col width="14" customWidth="1" min="22" max="22"/>
    <col width="18" customWidth="1" min="23" max="23"/>
    <col width="14" customWidth="1" min="24" max="24"/>
    <col width="18" customWidth="1" min="25" max="25"/>
    <col width="14" customWidth="1" min="26" max="26"/>
    <col width="25" customWidth="1" min="27" max="27"/>
  </cols>
  <sheetData>
    <row r="1">
      <c r="A1" s="1" t="inlineStr">
        <is>
          <t>Candidate ID</t>
        </is>
      </c>
      <c r="B1" s="1" t="inlineStr">
        <is>
          <t>Employee Name</t>
        </is>
      </c>
      <c r="C1" s="1" t="inlineStr">
        <is>
          <t>SSN Last 4</t>
        </is>
      </c>
      <c r="D1" s="1" t="inlineStr">
        <is>
          <t>Position Title</t>
        </is>
      </c>
      <c r="E1" s="1" t="inlineStr">
        <is>
          <t>Clearance Level Required</t>
        </is>
      </c>
      <c r="F1" s="1" t="inlineStr">
        <is>
          <t>Clearance Level Current</t>
        </is>
      </c>
      <c r="G1" s="1" t="inlineStr">
        <is>
          <t>Investigation Type</t>
        </is>
      </c>
      <c r="H1" s="1" t="inlineStr">
        <is>
          <t>FSO Assigned</t>
        </is>
      </c>
      <c r="I1" s="1" t="inlineStr">
        <is>
          <t>Date Candidate Notified</t>
        </is>
      </c>
      <c r="J1" s="1" t="inlineStr">
        <is>
          <t>e-QIP Account Created Date</t>
        </is>
      </c>
      <c r="K1" s="1" t="inlineStr">
        <is>
          <t>e-QIP Release Sent Date</t>
        </is>
      </c>
      <c r="L1" s="1" t="inlineStr">
        <is>
          <t>e-QIP Started by Candidate Date</t>
        </is>
      </c>
      <c r="M1" s="1" t="inlineStr">
        <is>
          <t>e-QIP Submitted by Candidate Date</t>
        </is>
      </c>
      <c r="N1" s="1" t="inlineStr">
        <is>
          <t>FSO Review Date</t>
        </is>
      </c>
      <c r="O1" s="1" t="inlineStr">
        <is>
          <t>FSO Review Status</t>
        </is>
      </c>
      <c r="P1" s="1" t="inlineStr">
        <is>
          <t>Corrections Requested</t>
        </is>
      </c>
      <c r="Q1" s="1" t="inlineStr">
        <is>
          <t>Corrections Details</t>
        </is>
      </c>
      <c r="R1" s="1" t="inlineStr">
        <is>
          <t>Date Submitted to DCSA</t>
        </is>
      </c>
      <c r="S1" s="1" t="inlineStr">
        <is>
          <t>DCSA Case Number</t>
        </is>
      </c>
      <c r="T1" s="1" t="inlineStr">
        <is>
          <t>Investigation Status</t>
        </is>
      </c>
      <c r="U1" s="1" t="inlineStr">
        <is>
          <t>Interim Clearance Requested</t>
        </is>
      </c>
      <c r="V1" s="1" t="inlineStr">
        <is>
          <t>Interim Clearance Date</t>
        </is>
      </c>
      <c r="W1" s="1" t="inlineStr">
        <is>
          <t>Interim Clearance Status</t>
        </is>
      </c>
      <c r="X1" s="1" t="inlineStr">
        <is>
          <t>Final Clearance Date</t>
        </is>
      </c>
      <c r="Y1" s="1" t="inlineStr">
        <is>
          <t>Final Clearance Status</t>
        </is>
      </c>
      <c r="Z1" s="1" t="inlineStr">
        <is>
          <t>Total Days in Process</t>
        </is>
      </c>
      <c r="AA1" s="1" t="inlineStr">
        <is>
          <t>Notes</t>
        </is>
      </c>
    </row>
    <row r="2">
      <c r="A2" s="2" t="inlineStr">
        <is>
          <t>RC-1001</t>
        </is>
      </c>
      <c r="B2" s="2" t="inlineStr">
        <is>
          <t>James Whitfield</t>
        </is>
      </c>
      <c r="C2" s="2" t="inlineStr">
        <is>
          <t>4521</t>
        </is>
      </c>
      <c r="D2" s="2" t="inlineStr">
        <is>
          <t>IT Help Desk Specialist</t>
        </is>
      </c>
      <c r="E2" s="2" t="inlineStr">
        <is>
          <t>Public Trust</t>
        </is>
      </c>
      <c r="F2" s="2" t="inlineStr">
        <is>
          <t>None</t>
        </is>
      </c>
      <c r="G2" s="2" t="inlineStr">
        <is>
          <t>T1</t>
        </is>
      </c>
      <c r="H2" s="2" t="inlineStr">
        <is>
          <t>Rachel Foster</t>
        </is>
      </c>
      <c r="I2" s="8" t="n">
        <v>46113</v>
      </c>
      <c r="J2" s="8" t="n">
        <v>46115</v>
      </c>
      <c r="K2" s="8" t="n">
        <v>46115</v>
      </c>
      <c r="L2" s="8" t="n">
        <v>46117</v>
      </c>
      <c r="M2" s="8" t="n"/>
      <c r="N2" s="8" t="n"/>
      <c r="O2" s="2" t="inlineStr">
        <is>
          <t>Pending Review</t>
        </is>
      </c>
      <c r="P2" s="2" t="inlineStr">
        <is>
          <t>No</t>
        </is>
      </c>
      <c r="Q2" s="2" t="n"/>
      <c r="R2" s="8" t="n"/>
      <c r="S2" s="2" t="n"/>
      <c r="T2" s="2" t="inlineStr">
        <is>
          <t>Pre-Investigation</t>
        </is>
      </c>
      <c r="U2" s="2" t="inlineStr">
        <is>
          <t>No</t>
        </is>
      </c>
      <c r="V2" s="8" t="n"/>
      <c r="W2" s="2" t="n"/>
      <c r="X2" s="8" t="n"/>
      <c r="Y2" s="2" t="n"/>
      <c r="Z2" s="2">
        <f>IF(I2="","",TODAY()-I2)</f>
        <v/>
      </c>
      <c r="AA2" s="2" t="inlineStr">
        <is>
          <t>Candidate working on SF-86</t>
        </is>
      </c>
    </row>
    <row r="3">
      <c r="A3" s="5" t="inlineStr">
        <is>
          <t>RC-1002</t>
        </is>
      </c>
      <c r="B3" s="5" t="inlineStr">
        <is>
          <t>Maria Santos</t>
        </is>
      </c>
      <c r="C3" s="5" t="inlineStr">
        <is>
          <t>7834</t>
        </is>
      </c>
      <c r="D3" s="5" t="inlineStr">
        <is>
          <t>Systems Administrator</t>
        </is>
      </c>
      <c r="E3" s="5" t="inlineStr">
        <is>
          <t>Secret</t>
        </is>
      </c>
      <c r="F3" s="5" t="inlineStr">
        <is>
          <t>Interim Secret</t>
        </is>
      </c>
      <c r="G3" s="5" t="inlineStr">
        <is>
          <t>T3</t>
        </is>
      </c>
      <c r="H3" s="5" t="inlineStr">
        <is>
          <t>Rachel Foster</t>
        </is>
      </c>
      <c r="I3" s="10" t="n">
        <v>46094</v>
      </c>
      <c r="J3" s="10" t="n">
        <v>46095</v>
      </c>
      <c r="K3" s="10" t="n">
        <v>46095</v>
      </c>
      <c r="L3" s="10" t="n">
        <v>46097</v>
      </c>
      <c r="M3" s="10" t="n">
        <v>46101</v>
      </c>
      <c r="N3" s="10" t="n">
        <v>46103</v>
      </c>
      <c r="O3" s="5" t="inlineStr">
        <is>
          <t>Submitted to DCSA</t>
        </is>
      </c>
      <c r="P3" s="5" t="inlineStr">
        <is>
          <t>No</t>
        </is>
      </c>
      <c r="Q3" s="5" t="n"/>
      <c r="R3" s="10" t="n">
        <v>46103</v>
      </c>
      <c r="S3" s="5" t="inlineStr">
        <is>
          <t>DCSA-2026-08821</t>
        </is>
      </c>
      <c r="T3" s="5" t="inlineStr">
        <is>
          <t>Investigation Active</t>
        </is>
      </c>
      <c r="U3" s="5" t="inlineStr">
        <is>
          <t>Yes</t>
        </is>
      </c>
      <c r="V3" s="10" t="n">
        <v>46106</v>
      </c>
      <c r="W3" s="5" t="inlineStr">
        <is>
          <t>Granted</t>
        </is>
      </c>
      <c r="X3" s="10" t="n"/>
      <c r="Y3" s="5" t="n"/>
      <c r="Z3" s="5">
        <f>IF(I3="","",TODAY()-I3)</f>
        <v/>
      </c>
      <c r="AA3" s="5" t="inlineStr">
        <is>
          <t>Interim granted, investigation ongoing</t>
        </is>
      </c>
    </row>
    <row r="4">
      <c r="A4" s="2" t="inlineStr">
        <is>
          <t>RC-1005</t>
        </is>
      </c>
      <c r="B4" s="2" t="inlineStr">
        <is>
          <t>Kevin Tran</t>
        </is>
      </c>
      <c r="C4" s="2" t="inlineStr">
        <is>
          <t>6190</t>
        </is>
      </c>
      <c r="D4" s="2" t="inlineStr">
        <is>
          <t>Network Engineer</t>
        </is>
      </c>
      <c r="E4" s="2" t="inlineStr">
        <is>
          <t>Secret</t>
        </is>
      </c>
      <c r="F4" s="2" t="inlineStr">
        <is>
          <t>Secret</t>
        </is>
      </c>
      <c r="G4" s="2" t="inlineStr">
        <is>
          <t>T3</t>
        </is>
      </c>
      <c r="H4" s="2" t="inlineStr">
        <is>
          <t>Tom Bradley</t>
        </is>
      </c>
      <c r="I4" s="8" t="n">
        <v>46089</v>
      </c>
      <c r="J4" s="8" t="n">
        <v>46090</v>
      </c>
      <c r="K4" s="8" t="n">
        <v>46090</v>
      </c>
      <c r="L4" s="8" t="n">
        <v>46091</v>
      </c>
      <c r="M4" s="8" t="n">
        <v>46093</v>
      </c>
      <c r="N4" s="8" t="n">
        <v>46095</v>
      </c>
      <c r="O4" s="2" t="inlineStr">
        <is>
          <t>Submitted to DCSA</t>
        </is>
      </c>
      <c r="P4" s="2" t="inlineStr">
        <is>
          <t>No</t>
        </is>
      </c>
      <c r="Q4" s="2" t="n"/>
      <c r="R4" s="8" t="n">
        <v>46095</v>
      </c>
      <c r="S4" s="2" t="inlineStr">
        <is>
          <t>DCSA-2026-07455</t>
        </is>
      </c>
      <c r="T4" s="2" t="inlineStr">
        <is>
          <t>Complete</t>
        </is>
      </c>
      <c r="U4" s="2" t="inlineStr">
        <is>
          <t>No</t>
        </is>
      </c>
      <c r="V4" s="8" t="n"/>
      <c r="W4" s="2" t="n"/>
      <c r="X4" s="8" t="n">
        <v>46111</v>
      </c>
      <c r="Y4" s="2" t="inlineStr">
        <is>
          <t>Granted</t>
        </is>
      </c>
      <c r="Z4" s="2">
        <f>IF(I4="","",TODAY()-I4)</f>
        <v/>
      </c>
      <c r="AA4" s="2" t="inlineStr">
        <is>
          <t>Final clearance granted, deployed</t>
        </is>
      </c>
    </row>
    <row r="5">
      <c r="A5" s="5" t="inlineStr">
        <is>
          <t>RC-1007</t>
        </is>
      </c>
      <c r="B5" s="5" t="inlineStr">
        <is>
          <t>Andre Williams</t>
        </is>
      </c>
      <c r="C5" s="5" t="inlineStr">
        <is>
          <t>3347</t>
        </is>
      </c>
      <c r="D5" s="5" t="inlineStr">
        <is>
          <t>Database Administrator</t>
        </is>
      </c>
      <c r="E5" s="5" t="inlineStr">
        <is>
          <t>TS-SCI</t>
        </is>
      </c>
      <c r="F5" s="5" t="inlineStr">
        <is>
          <t>Secret</t>
        </is>
      </c>
      <c r="G5" s="5" t="inlineStr">
        <is>
          <t>T5</t>
        </is>
      </c>
      <c r="H5" s="5" t="inlineStr">
        <is>
          <t>Tom Bradley</t>
        </is>
      </c>
      <c r="I5" s="10" t="n">
        <v>46073</v>
      </c>
      <c r="J5" s="10" t="n">
        <v>46074</v>
      </c>
      <c r="K5" s="10" t="n">
        <v>46074</v>
      </c>
      <c r="L5" s="10" t="n">
        <v>46077</v>
      </c>
      <c r="M5" s="10" t="n">
        <v>46082</v>
      </c>
      <c r="N5" s="10" t="n">
        <v>46084</v>
      </c>
      <c r="O5" s="5" t="inlineStr">
        <is>
          <t>Submitted to DCSA</t>
        </is>
      </c>
      <c r="P5" s="5" t="inlineStr">
        <is>
          <t>Yes</t>
        </is>
      </c>
      <c r="Q5" s="5" t="inlineStr">
        <is>
          <t>Foreign travel dates corrected</t>
        </is>
      </c>
      <c r="R5" s="10" t="n">
        <v>46086</v>
      </c>
      <c r="S5" s="5" t="inlineStr">
        <is>
          <t>DCSA-2026-06230</t>
        </is>
      </c>
      <c r="T5" s="5" t="inlineStr">
        <is>
          <t>Investigation Active</t>
        </is>
      </c>
      <c r="U5" s="5" t="inlineStr">
        <is>
          <t>Yes</t>
        </is>
      </c>
      <c r="V5" s="10" t="n">
        <v>46091</v>
      </c>
      <c r="W5" s="5" t="inlineStr">
        <is>
          <t>Granted</t>
        </is>
      </c>
      <c r="X5" s="10" t="n"/>
      <c r="Y5" s="5" t="n"/>
      <c r="Z5" s="5">
        <f>IF(I5="","",TODAY()-I5)</f>
        <v/>
      </c>
      <c r="AA5" s="5" t="inlineStr">
        <is>
          <t>Full TS-SCI investigation in progress</t>
        </is>
      </c>
    </row>
    <row r="6">
      <c r="A6" s="2" t="inlineStr">
        <is>
          <t>RC-1012</t>
        </is>
      </c>
      <c r="B6" s="2" t="inlineStr">
        <is>
          <t>Angela Price</t>
        </is>
      </c>
      <c r="C6" s="2" t="inlineStr">
        <is>
          <t>8856</t>
        </is>
      </c>
      <c r="D6" s="2" t="inlineStr">
        <is>
          <t>Information Assurance Analyst</t>
        </is>
      </c>
      <c r="E6" s="2" t="inlineStr">
        <is>
          <t>Secret</t>
        </is>
      </c>
      <c r="F6" s="2" t="inlineStr">
        <is>
          <t>None</t>
        </is>
      </c>
      <c r="G6" s="2" t="inlineStr">
        <is>
          <t>T3</t>
        </is>
      </c>
      <c r="H6" s="2" t="inlineStr">
        <is>
          <t>Rachel Foster</t>
        </is>
      </c>
      <c r="I6" s="8" t="n">
        <v>46121</v>
      </c>
      <c r="J6" s="8" t="n">
        <v>46122</v>
      </c>
      <c r="K6" s="8" t="n">
        <v>46122</v>
      </c>
      <c r="L6" s="8" t="n">
        <v>46124</v>
      </c>
      <c r="M6" s="8" t="n"/>
      <c r="N6" s="8" t="n"/>
      <c r="O6" s="2" t="inlineStr">
        <is>
          <t>Pending Review</t>
        </is>
      </c>
      <c r="P6" s="2" t="inlineStr">
        <is>
          <t>No</t>
        </is>
      </c>
      <c r="Q6" s="2" t="n"/>
      <c r="R6" s="8" t="n"/>
      <c r="S6" s="2" t="n"/>
      <c r="T6" s="2" t="inlineStr">
        <is>
          <t>Pre-Investigation</t>
        </is>
      </c>
      <c r="U6" s="2" t="inlineStr">
        <is>
          <t>No</t>
        </is>
      </c>
      <c r="V6" s="8" t="n"/>
      <c r="W6" s="2" t="n"/>
      <c r="X6" s="8" t="n"/>
      <c r="Y6" s="2" t="n"/>
      <c r="Z6" s="2">
        <f>IF(I6="","",TODAY()-I6)</f>
        <v/>
      </c>
      <c r="AA6" s="2" t="inlineStr">
        <is>
          <t>SF-86 in progress</t>
        </is>
      </c>
    </row>
    <row r="7">
      <c r="A7" s="5" t="inlineStr">
        <is>
          <t>RC-1013</t>
        </is>
      </c>
      <c r="B7" s="5" t="inlineStr">
        <is>
          <t>Thomas Clark</t>
        </is>
      </c>
      <c r="C7" s="5" t="inlineStr">
        <is>
          <t>2298</t>
        </is>
      </c>
      <c r="D7" s="5" t="inlineStr">
        <is>
          <t>DevOps Engineer</t>
        </is>
      </c>
      <c r="E7" s="5" t="inlineStr">
        <is>
          <t>Secret</t>
        </is>
      </c>
      <c r="F7" s="5" t="inlineStr">
        <is>
          <t>None</t>
        </is>
      </c>
      <c r="G7" s="5" t="inlineStr">
        <is>
          <t>T3</t>
        </is>
      </c>
      <c r="H7" s="5" t="inlineStr">
        <is>
          <t>Tom Bradley</t>
        </is>
      </c>
      <c r="I7" s="10" t="n">
        <v>46120</v>
      </c>
      <c r="J7" s="10" t="n">
        <v>46122</v>
      </c>
      <c r="K7" s="10" t="n">
        <v>46122</v>
      </c>
      <c r="L7" s="10" t="n">
        <v>46126</v>
      </c>
      <c r="M7" s="10" t="n"/>
      <c r="N7" s="10" t="n"/>
      <c r="O7" s="5" t="inlineStr">
        <is>
          <t>Pending Review</t>
        </is>
      </c>
      <c r="P7" s="5" t="inlineStr">
        <is>
          <t>No</t>
        </is>
      </c>
      <c r="Q7" s="5" t="n"/>
      <c r="R7" s="10" t="n"/>
      <c r="S7" s="5" t="n"/>
      <c r="T7" s="5" t="inlineStr">
        <is>
          <t>Pre-Investigation</t>
        </is>
      </c>
      <c r="U7" s="5" t="inlineStr">
        <is>
          <t>Yes</t>
        </is>
      </c>
      <c r="V7" s="10" t="n"/>
      <c r="W7" s="5" t="inlineStr">
        <is>
          <t>Pending</t>
        </is>
      </c>
      <c r="X7" s="10" t="n"/>
      <c r="Y7" s="5" t="n"/>
      <c r="Z7" s="5">
        <f>IF(I7="","",TODAY()-I7)</f>
        <v/>
      </c>
      <c r="AA7" s="5" t="inlineStr">
        <is>
          <t>Just started e-QIP</t>
        </is>
      </c>
    </row>
    <row r="8">
      <c r="A8" s="2" t="inlineStr">
        <is>
          <t>RC-1015</t>
        </is>
      </c>
      <c r="B8" s="2" t="inlineStr">
        <is>
          <t>William Thompson</t>
        </is>
      </c>
      <c r="C8" s="2" t="inlineStr">
        <is>
          <t>5573</t>
        </is>
      </c>
      <c r="D8" s="2" t="inlineStr">
        <is>
          <t>SOC Analyst</t>
        </is>
      </c>
      <c r="E8" s="2" t="inlineStr">
        <is>
          <t>Top Secret</t>
        </is>
      </c>
      <c r="F8" s="2" t="inlineStr">
        <is>
          <t>None</t>
        </is>
      </c>
      <c r="G8" s="2" t="inlineStr">
        <is>
          <t>T5</t>
        </is>
      </c>
      <c r="H8" s="2" t="inlineStr">
        <is>
          <t>Tom Bradley</t>
        </is>
      </c>
      <c r="I8" s="8" t="n">
        <v>46082</v>
      </c>
      <c r="J8" s="8" t="n">
        <v>46083</v>
      </c>
      <c r="K8" s="8" t="n">
        <v>46083</v>
      </c>
      <c r="L8" s="8" t="n">
        <v>46085</v>
      </c>
      <c r="M8" s="8" t="n">
        <v>46089</v>
      </c>
      <c r="N8" s="8" t="n">
        <v>46091</v>
      </c>
      <c r="O8" s="2" t="inlineStr">
        <is>
          <t>Submitted to DCSA</t>
        </is>
      </c>
      <c r="P8" s="2" t="inlineStr">
        <is>
          <t>Yes</t>
        </is>
      </c>
      <c r="Q8" s="2" t="inlineStr">
        <is>
          <t>Employment gap clarification</t>
        </is>
      </c>
      <c r="R8" s="8" t="n">
        <v>46093</v>
      </c>
      <c r="S8" s="2" t="inlineStr">
        <is>
          <t>DCSA-2026-07100</t>
        </is>
      </c>
      <c r="T8" s="2" t="inlineStr">
        <is>
          <t>Investigation Active</t>
        </is>
      </c>
      <c r="U8" s="2" t="inlineStr">
        <is>
          <t>Yes</t>
        </is>
      </c>
      <c r="V8" s="8" t="n"/>
      <c r="W8" s="2" t="inlineStr">
        <is>
          <t>Pending</t>
        </is>
      </c>
      <c r="X8" s="8" t="n"/>
      <c r="Y8" s="2" t="n"/>
      <c r="Z8" s="2">
        <f>IF(I8="","",TODAY()-I8)</f>
        <v/>
      </c>
      <c r="AA8" s="2" t="inlineStr">
        <is>
          <t>Awaiting interim decision</t>
        </is>
      </c>
    </row>
    <row r="9">
      <c r="A9" s="5" t="inlineStr">
        <is>
          <t>RC-1003</t>
        </is>
      </c>
      <c r="B9" s="5" t="inlineStr">
        <is>
          <t>Robert Jackson</t>
        </is>
      </c>
      <c r="C9" s="5" t="inlineStr">
        <is>
          <t>9012</t>
        </is>
      </c>
      <c r="D9" s="5" t="inlineStr">
        <is>
          <t>Cybersecurity Analyst</t>
        </is>
      </c>
      <c r="E9" s="5" t="inlineStr">
        <is>
          <t>Top Secret</t>
        </is>
      </c>
      <c r="F9" s="5" t="inlineStr">
        <is>
          <t>None</t>
        </is>
      </c>
      <c r="G9" s="5" t="inlineStr">
        <is>
          <t>T5</t>
        </is>
      </c>
      <c r="H9" s="5" t="inlineStr">
        <is>
          <t>Rachel Foster</t>
        </is>
      </c>
      <c r="I9" s="10" t="n"/>
      <c r="J9" s="10" t="n"/>
      <c r="K9" s="10" t="n"/>
      <c r="L9" s="10" t="n"/>
      <c r="M9" s="10" t="n"/>
      <c r="N9" s="10" t="n"/>
      <c r="O9" s="5" t="n"/>
      <c r="P9" s="5" t="inlineStr">
        <is>
          <t>No</t>
        </is>
      </c>
      <c r="Q9" s="5" t="n"/>
      <c r="R9" s="10" t="n"/>
      <c r="S9" s="5" t="n"/>
      <c r="T9" s="5" t="inlineStr">
        <is>
          <t>Pre-Investigation</t>
        </is>
      </c>
      <c r="U9" s="5" t="inlineStr">
        <is>
          <t>No</t>
        </is>
      </c>
      <c r="V9" s="10" t="n"/>
      <c r="W9" s="5" t="n"/>
      <c r="X9" s="10" t="n"/>
      <c r="Y9" s="5" t="n"/>
      <c r="Z9" s="5">
        <f>IF(I9="","",TODAY()-I9)</f>
        <v/>
      </c>
      <c r="AA9" s="5" t="inlineStr">
        <is>
          <t>Pending interview completion</t>
        </is>
      </c>
    </row>
    <row r="10">
      <c r="A10" s="2" t="inlineStr">
        <is>
          <t>RC-1004</t>
        </is>
      </c>
      <c r="B10" s="2" t="inlineStr">
        <is>
          <t>Tanya Brooks</t>
        </is>
      </c>
      <c r="C10" s="2" t="inlineStr">
        <is>
          <t>1147</t>
        </is>
      </c>
      <c r="D10" s="2" t="inlineStr">
        <is>
          <t>Program Analyst</t>
        </is>
      </c>
      <c r="E10" s="2" t="inlineStr">
        <is>
          <t>Public Trust</t>
        </is>
      </c>
      <c r="F10" s="2" t="inlineStr">
        <is>
          <t>None</t>
        </is>
      </c>
      <c r="G10" s="2" t="inlineStr">
        <is>
          <t>T1</t>
        </is>
      </c>
      <c r="H10" s="2" t="inlineStr">
        <is>
          <t>Rachel Foster</t>
        </is>
      </c>
      <c r="I10" s="8" t="n"/>
      <c r="J10" s="8" t="n"/>
      <c r="K10" s="8" t="n"/>
      <c r="L10" s="8" t="n"/>
      <c r="M10" s="8" t="n"/>
      <c r="N10" s="8" t="n"/>
      <c r="O10" s="2" t="n"/>
      <c r="P10" s="2" t="inlineStr">
        <is>
          <t>No</t>
        </is>
      </c>
      <c r="Q10" s="2" t="n"/>
      <c r="R10" s="8" t="n"/>
      <c r="S10" s="2" t="n"/>
      <c r="T10" s="2" t="inlineStr">
        <is>
          <t>Pre-Investigation</t>
        </is>
      </c>
      <c r="U10" s="2" t="inlineStr">
        <is>
          <t>No</t>
        </is>
      </c>
      <c r="V10" s="8" t="n"/>
      <c r="W10" s="2" t="n"/>
      <c r="X10" s="8" t="n"/>
      <c r="Y10" s="2" t="n"/>
      <c r="Z10" s="2">
        <f>IF(I10="","",TODAY()-I10)</f>
        <v/>
      </c>
      <c r="AA10" s="2" t="inlineStr">
        <is>
          <t>Awaiting offer acceptance</t>
        </is>
      </c>
    </row>
    <row r="11">
      <c r="A11" s="5" t="inlineStr">
        <is>
          <t>RC-1006</t>
        </is>
      </c>
      <c r="B11" s="5" t="inlineStr">
        <is>
          <t>Diana Morris</t>
        </is>
      </c>
      <c r="C11" s="5" t="inlineStr">
        <is>
          <t>6633</t>
        </is>
      </c>
      <c r="D11" s="5" t="inlineStr">
        <is>
          <t>Technical Writer</t>
        </is>
      </c>
      <c r="E11" s="5" t="inlineStr">
        <is>
          <t>Public Trust</t>
        </is>
      </c>
      <c r="F11" s="5" t="inlineStr">
        <is>
          <t>None</t>
        </is>
      </c>
      <c r="G11" s="5" t="inlineStr">
        <is>
          <t>T1</t>
        </is>
      </c>
      <c r="H11" s="5" t="inlineStr">
        <is>
          <t>Tom Bradley</t>
        </is>
      </c>
      <c r="I11" s="10" t="n"/>
      <c r="J11" s="10" t="n"/>
      <c r="K11" s="10" t="n"/>
      <c r="L11" s="10" t="n"/>
      <c r="M11" s="10" t="n"/>
      <c r="N11" s="10" t="n"/>
      <c r="O11" s="5" t="n"/>
      <c r="P11" s="5" t="inlineStr">
        <is>
          <t>No</t>
        </is>
      </c>
      <c r="Q11" s="5" t="n"/>
      <c r="R11" s="10" t="n"/>
      <c r="S11" s="5" t="n"/>
      <c r="T11" s="5" t="inlineStr">
        <is>
          <t>Pre-Investigation</t>
        </is>
      </c>
      <c r="U11" s="5" t="inlineStr">
        <is>
          <t>No</t>
        </is>
      </c>
      <c r="V11" s="10" t="n"/>
      <c r="W11" s="5" t="n"/>
      <c r="X11" s="10" t="n"/>
      <c r="Y11" s="5" t="n"/>
      <c r="Z11" s="5">
        <f>IF(I11="","",TODAY()-I11)</f>
        <v/>
      </c>
      <c r="AA11" s="5" t="inlineStr">
        <is>
          <t>Not yet in clearance pipeline</t>
        </is>
      </c>
    </row>
    <row r="12">
      <c r="A12" s="2" t="inlineStr">
        <is>
          <t>RC-1008</t>
        </is>
      </c>
      <c r="B12" s="2" t="inlineStr">
        <is>
          <t>Jennifer Hawkins</t>
        </is>
      </c>
      <c r="C12" s="2" t="inlineStr">
        <is>
          <t>4401</t>
        </is>
      </c>
      <c r="D12" s="2" t="inlineStr">
        <is>
          <t>Project Manager</t>
        </is>
      </c>
      <c r="E12" s="2" t="inlineStr">
        <is>
          <t>Secret</t>
        </is>
      </c>
      <c r="F12" s="2" t="inlineStr">
        <is>
          <t>None</t>
        </is>
      </c>
      <c r="G12" s="2" t="inlineStr">
        <is>
          <t>T3</t>
        </is>
      </c>
      <c r="H12" s="2" t="inlineStr">
        <is>
          <t>Rachel Foster</t>
        </is>
      </c>
      <c r="I12" s="8" t="n"/>
      <c r="J12" s="8" t="n"/>
      <c r="K12" s="8" t="n"/>
      <c r="L12" s="8" t="n"/>
      <c r="M12" s="8" t="n"/>
      <c r="N12" s="8" t="n"/>
      <c r="O12" s="2" t="n"/>
      <c r="P12" s="2" t="inlineStr">
        <is>
          <t>No</t>
        </is>
      </c>
      <c r="Q12" s="2" t="n"/>
      <c r="R12" s="8" t="n"/>
      <c r="S12" s="2" t="n"/>
      <c r="T12" s="2" t="inlineStr">
        <is>
          <t>Pre-Investigation</t>
        </is>
      </c>
      <c r="U12" s="2" t="inlineStr">
        <is>
          <t>No</t>
        </is>
      </c>
      <c r="V12" s="8" t="n"/>
      <c r="W12" s="2" t="n"/>
      <c r="X12" s="8" t="n"/>
      <c r="Y12" s="2" t="n"/>
      <c r="Z12" s="2">
        <f>IF(I12="","",TODAY()-I12)</f>
        <v/>
      </c>
      <c r="AA12" s="2" t="inlineStr">
        <is>
          <t>Interview pending</t>
        </is>
      </c>
    </row>
    <row r="13">
      <c r="A13" s="5" t="inlineStr">
        <is>
          <t>RC-1009</t>
        </is>
      </c>
      <c r="B13" s="5" t="inlineStr">
        <is>
          <t>Carlos Rivera</t>
        </is>
      </c>
      <c r="C13" s="5" t="inlineStr">
        <is>
          <t>7789</t>
        </is>
      </c>
      <c r="D13" s="5" t="inlineStr">
        <is>
          <t>Service Desk Lead</t>
        </is>
      </c>
      <c r="E13" s="5" t="inlineStr">
        <is>
          <t>Public Trust</t>
        </is>
      </c>
      <c r="F13" s="5" t="inlineStr">
        <is>
          <t>None</t>
        </is>
      </c>
      <c r="G13" s="5" t="inlineStr">
        <is>
          <t>T1</t>
        </is>
      </c>
      <c r="H13" s="5" t="inlineStr">
        <is>
          <t>Tom Bradley</t>
        </is>
      </c>
      <c r="I13" s="10" t="n"/>
      <c r="J13" s="10" t="n"/>
      <c r="K13" s="10" t="n"/>
      <c r="L13" s="10" t="n"/>
      <c r="M13" s="10" t="n"/>
      <c r="N13" s="10" t="n"/>
      <c r="O13" s="5" t="n"/>
      <c r="P13" s="5" t="inlineStr">
        <is>
          <t>No</t>
        </is>
      </c>
      <c r="Q13" s="5" t="n"/>
      <c r="R13" s="10" t="n"/>
      <c r="S13" s="5" t="n"/>
      <c r="T13" s="5" t="inlineStr">
        <is>
          <t>Pre-Investigation</t>
        </is>
      </c>
      <c r="U13" s="5" t="inlineStr">
        <is>
          <t>No</t>
        </is>
      </c>
      <c r="V13" s="10" t="n"/>
      <c r="W13" s="5" t="n"/>
      <c r="X13" s="10" t="n"/>
      <c r="Y13" s="5" t="n"/>
      <c r="Z13" s="5">
        <f>IF(I13="","",TODAY()-I13)</f>
        <v/>
      </c>
      <c r="AA13" s="5" t="inlineStr">
        <is>
          <t>Scoring complete, pending offer</t>
        </is>
      </c>
    </row>
    <row r="14">
      <c r="A14" s="2" t="inlineStr">
        <is>
          <t>RC-1010</t>
        </is>
      </c>
      <c r="B14" s="2" t="inlineStr">
        <is>
          <t>Patricia Nguyen</t>
        </is>
      </c>
      <c r="C14" s="2" t="inlineStr">
        <is>
          <t>2255</t>
        </is>
      </c>
      <c r="D14" s="2" t="inlineStr">
        <is>
          <t>Quality Assurance Analyst</t>
        </is>
      </c>
      <c r="E14" s="2" t="inlineStr">
        <is>
          <t>Public Trust</t>
        </is>
      </c>
      <c r="F14" s="2" t="inlineStr">
        <is>
          <t>None</t>
        </is>
      </c>
      <c r="G14" s="2" t="inlineStr">
        <is>
          <t>T1</t>
        </is>
      </c>
      <c r="H14" s="2" t="inlineStr">
        <is>
          <t>Rachel Foster</t>
        </is>
      </c>
      <c r="I14" s="8" t="n"/>
      <c r="J14" s="8" t="n"/>
      <c r="K14" s="8" t="n"/>
      <c r="L14" s="8" t="n"/>
      <c r="M14" s="8" t="n"/>
      <c r="N14" s="8" t="n"/>
      <c r="O14" s="2" t="n"/>
      <c r="P14" s="2" t="inlineStr">
        <is>
          <t>No</t>
        </is>
      </c>
      <c r="Q14" s="2" t="n"/>
      <c r="R14" s="8" t="n"/>
      <c r="S14" s="2" t="n"/>
      <c r="T14" s="2" t="inlineStr">
        <is>
          <t>Pre-Investigation</t>
        </is>
      </c>
      <c r="U14" s="2" t="inlineStr">
        <is>
          <t>No</t>
        </is>
      </c>
      <c r="V14" s="8" t="n"/>
      <c r="W14" s="2" t="n"/>
      <c r="X14" s="8" t="n"/>
      <c r="Y14" s="2" t="n"/>
      <c r="Z14" s="2">
        <f>IF(I14="","",TODAY()-I14)</f>
        <v/>
      </c>
      <c r="AA14" s="2" t="inlineStr">
        <is>
          <t>Early pipeline stage</t>
        </is>
      </c>
    </row>
    <row r="15">
      <c r="A15" s="5" t="inlineStr">
        <is>
          <t>RC-1011</t>
        </is>
      </c>
      <c r="B15" s="5" t="inlineStr">
        <is>
          <t>Michael Foster</t>
        </is>
      </c>
      <c r="C15" s="5" t="inlineStr">
        <is>
          <t>8814</t>
        </is>
      </c>
      <c r="D15" s="5" t="inlineStr">
        <is>
          <t>Cloud Engineer</t>
        </is>
      </c>
      <c r="E15" s="5" t="inlineStr">
        <is>
          <t>Top Secret</t>
        </is>
      </c>
      <c r="F15" s="5" t="inlineStr">
        <is>
          <t>None</t>
        </is>
      </c>
      <c r="G15" s="5" t="inlineStr">
        <is>
          <t>T5</t>
        </is>
      </c>
      <c r="H15" s="5" t="inlineStr">
        <is>
          <t>Tom Bradley</t>
        </is>
      </c>
      <c r="I15" s="10" t="n"/>
      <c r="J15" s="10" t="n"/>
      <c r="K15" s="10" t="n"/>
      <c r="L15" s="10" t="n"/>
      <c r="M15" s="10" t="n"/>
      <c r="N15" s="10" t="n"/>
      <c r="O15" s="5" t="n"/>
      <c r="P15" s="5" t="inlineStr">
        <is>
          <t>No</t>
        </is>
      </c>
      <c r="Q15" s="5" t="n"/>
      <c r="R15" s="10" t="n"/>
      <c r="S15" s="5" t="n"/>
      <c r="T15" s="5" t="inlineStr">
        <is>
          <t>Pre-Investigation</t>
        </is>
      </c>
      <c r="U15" s="5" t="inlineStr">
        <is>
          <t>No</t>
        </is>
      </c>
      <c r="V15" s="10" t="n"/>
      <c r="W15" s="5" t="n"/>
      <c r="X15" s="10" t="n"/>
      <c r="Y15" s="5" t="n"/>
      <c r="Z15" s="5">
        <f>IF(I15="","",TODAY()-I15)</f>
        <v/>
      </c>
      <c r="AA15" s="5" t="inlineStr">
        <is>
          <t>Candidate withdrawn</t>
        </is>
      </c>
    </row>
    <row r="16">
      <c r="A16" s="2" t="inlineStr">
        <is>
          <t>RC-1014</t>
        </is>
      </c>
      <c r="B16" s="2" t="inlineStr">
        <is>
          <t>Samantha Reed</t>
        </is>
      </c>
      <c r="C16" s="2" t="inlineStr">
        <is>
          <t>3367</t>
        </is>
      </c>
      <c r="D16" s="2" t="inlineStr">
        <is>
          <t>Business Analyst</t>
        </is>
      </c>
      <c r="E16" s="2" t="inlineStr">
        <is>
          <t>Public Trust</t>
        </is>
      </c>
      <c r="F16" s="2" t="inlineStr">
        <is>
          <t>None</t>
        </is>
      </c>
      <c r="G16" s="2" t="inlineStr">
        <is>
          <t>T1</t>
        </is>
      </c>
      <c r="H16" s="2" t="inlineStr">
        <is>
          <t>Rachel Foster</t>
        </is>
      </c>
      <c r="I16" s="8" t="n"/>
      <c r="J16" s="8" t="n"/>
      <c r="K16" s="8" t="n"/>
      <c r="L16" s="8" t="n"/>
      <c r="M16" s="8" t="n"/>
      <c r="N16" s="8" t="n"/>
      <c r="O16" s="2" t="n"/>
      <c r="P16" s="2" t="inlineStr">
        <is>
          <t>No</t>
        </is>
      </c>
      <c r="Q16" s="2" t="n"/>
      <c r="R16" s="8" t="n"/>
      <c r="S16" s="2" t="n"/>
      <c r="T16" s="2" t="inlineStr">
        <is>
          <t>Pre-Investigation</t>
        </is>
      </c>
      <c r="U16" s="2" t="inlineStr">
        <is>
          <t>No</t>
        </is>
      </c>
      <c r="V16" s="8" t="n"/>
      <c r="W16" s="2" t="n"/>
      <c r="X16" s="8" t="n"/>
      <c r="Y16" s="2" t="n"/>
      <c r="Z16" s="2">
        <f>IF(I16="","",TODAY()-I16)</f>
        <v/>
      </c>
      <c r="AA16" s="2" t="inlineStr">
        <is>
          <t>Early pipeline, screening phase</t>
        </is>
      </c>
    </row>
  </sheetData>
  <dataValidations count="8">
    <dataValidation sqref="E2:E100" showDropDown="0" showInputMessage="0" showErrorMessage="0" allowBlank="1" type="list">
      <formula1>"Public Trust,Secret,Top Secret,TS-SCI"</formula1>
    </dataValidation>
    <dataValidation sqref="G2:G100" showDropDown="0" showInputMessage="0" showErrorMessage="0" allowBlank="1" type="list">
      <formula1>"T1,T2,T3,T4,T5"</formula1>
    </dataValidation>
    <dataValidation sqref="O2:O100" showDropDown="0" showInputMessage="0" showErrorMessage="0" allowBlank="1" type="list">
      <formula1>"Pending Review,Corrections Needed,Approved,Submitted to DCSA"</formula1>
    </dataValidation>
    <dataValidation sqref="P2:P100" showDropDown="0" showInputMessage="0" showErrorMessage="0" allowBlank="1" type="list">
      <formula1>"Yes,No"</formula1>
    </dataValidation>
    <dataValidation sqref="T2:T100" showDropDown="0" showInputMessage="0" showErrorMessage="0" allowBlank="1" type="list">
      <formula1>"Pre-Investigation,Investigation Active,Adjudication,Complete"</formula1>
    </dataValidation>
    <dataValidation sqref="U2:U100" showDropDown="0" showInputMessage="0" showErrorMessage="0" allowBlank="1" type="list">
      <formula1>"Yes,No"</formula1>
    </dataValidation>
    <dataValidation sqref="W2:W100" showDropDown="0" showInputMessage="0" showErrorMessage="0" allowBlank="1" type="list">
      <formula1>"Pending,Granted,Denied"</formula1>
    </dataValidation>
    <dataValidation sqref="Y2:Y100" showDropDown="0" showInputMessage="0" showErrorMessage="0" allowBlank="1" type="list">
      <formula1>"Granted,Denied,Withdrawn"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10" customWidth="1" min="4" max="4"/>
    <col width="10" customWidth="1" min="5" max="5"/>
    <col width="14" customWidth="1" min="6" max="6"/>
    <col width="15" customWidth="1" min="7" max="7"/>
    <col width="30" customWidth="1" min="8" max="8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Document Type</t>
        </is>
      </c>
      <c r="D1" s="1" t="inlineStr">
        <is>
          <t>Required</t>
        </is>
      </c>
      <c r="E1" s="1" t="inlineStr">
        <is>
          <t>Received</t>
        </is>
      </c>
      <c r="F1" s="1" t="inlineStr">
        <is>
          <t>Date Received</t>
        </is>
      </c>
      <c r="G1" s="1" t="inlineStr">
        <is>
          <t>Verified By</t>
        </is>
      </c>
      <c r="H1" s="1" t="inlineStr">
        <is>
          <t>Notes</t>
        </is>
      </c>
    </row>
    <row r="2">
      <c r="A2" s="2" t="inlineStr">
        <is>
          <t>RC-1001</t>
        </is>
      </c>
      <c r="B2" s="2" t="inlineStr">
        <is>
          <t>James Whitfield</t>
        </is>
      </c>
      <c r="C2" s="2" t="inlineStr">
        <is>
          <t>SF-86 Questionnaire</t>
        </is>
      </c>
      <c r="D2" s="2" t="inlineStr">
        <is>
          <t>Yes</t>
        </is>
      </c>
      <c r="E2" s="2" t="inlineStr">
        <is>
          <t>Yes</t>
        </is>
      </c>
      <c r="F2" s="8" t="n">
        <v>46117</v>
      </c>
      <c r="G2" s="2" t="inlineStr">
        <is>
          <t>Rachel Foster</t>
        </is>
      </c>
      <c r="H2" s="2" t="inlineStr">
        <is>
          <t>Complete</t>
        </is>
      </c>
    </row>
    <row r="3">
      <c r="A3" s="5" t="inlineStr">
        <is>
          <t>RC-1001</t>
        </is>
      </c>
      <c r="B3" s="5" t="inlineStr">
        <is>
          <t>James Whitfield</t>
        </is>
      </c>
      <c r="C3" s="5" t="inlineStr">
        <is>
          <t>Release Forms (Authorization &amp; HIPAA)</t>
        </is>
      </c>
      <c r="D3" s="5" t="inlineStr">
        <is>
          <t>Yes</t>
        </is>
      </c>
      <c r="E3" s="5" t="inlineStr">
        <is>
          <t>Yes</t>
        </is>
      </c>
      <c r="F3" s="10" t="n">
        <v>46117</v>
      </c>
      <c r="G3" s="5" t="inlineStr">
        <is>
          <t>Rachel Foster</t>
        </is>
      </c>
      <c r="H3" s="5" t="inlineStr">
        <is>
          <t>Signed</t>
        </is>
      </c>
    </row>
    <row r="4">
      <c r="A4" s="2" t="inlineStr">
        <is>
          <t>RC-1001</t>
        </is>
      </c>
      <c r="B4" s="2" t="inlineStr">
        <is>
          <t>James Whitfield</t>
        </is>
      </c>
      <c r="C4" s="2" t="inlineStr">
        <is>
          <t>Fingerprint Cards (FD-258)</t>
        </is>
      </c>
      <c r="D4" s="2" t="inlineStr">
        <is>
          <t>Yes</t>
        </is>
      </c>
      <c r="E4" s="2" t="inlineStr">
        <is>
          <t>Yes</t>
        </is>
      </c>
      <c r="F4" s="8" t="n">
        <v>46118</v>
      </c>
      <c r="G4" s="2" t="inlineStr">
        <is>
          <t>Rachel Foster</t>
        </is>
      </c>
      <c r="H4" s="2" t="n"/>
    </row>
    <row r="5">
      <c r="A5" s="5" t="inlineStr">
        <is>
          <t>RC-1001</t>
        </is>
      </c>
      <c r="B5" s="5" t="inlineStr">
        <is>
          <t>James Whitfield</t>
        </is>
      </c>
      <c r="C5" s="5" t="inlineStr">
        <is>
          <t>Birth Certificate or Passport</t>
        </is>
      </c>
      <c r="D5" s="5" t="inlineStr">
        <is>
          <t>Yes</t>
        </is>
      </c>
      <c r="E5" s="5" t="inlineStr">
        <is>
          <t>Yes</t>
        </is>
      </c>
      <c r="F5" s="10" t="n">
        <v>46116</v>
      </c>
      <c r="G5" s="5" t="inlineStr">
        <is>
          <t>Rachel Foster</t>
        </is>
      </c>
      <c r="H5" s="5" t="inlineStr">
        <is>
          <t>Passport provided</t>
        </is>
      </c>
    </row>
    <row r="6">
      <c r="A6" s="2" t="inlineStr">
        <is>
          <t>RC-1001</t>
        </is>
      </c>
      <c r="B6" s="2" t="inlineStr">
        <is>
          <t>James Whitfield</t>
        </is>
      </c>
      <c r="C6" s="2" t="inlineStr">
        <is>
          <t>Social Security Card</t>
        </is>
      </c>
      <c r="D6" s="2" t="inlineStr">
        <is>
          <t>Yes</t>
        </is>
      </c>
      <c r="E6" s="2" t="inlineStr">
        <is>
          <t>Yes</t>
        </is>
      </c>
      <c r="F6" s="8" t="n">
        <v>46116</v>
      </c>
      <c r="G6" s="2" t="inlineStr">
        <is>
          <t>Rachel Foster</t>
        </is>
      </c>
      <c r="H6" s="2" t="n"/>
    </row>
    <row r="7">
      <c r="A7" s="5" t="inlineStr">
        <is>
          <t>RC-1001</t>
        </is>
      </c>
      <c r="B7" s="5" t="inlineStr">
        <is>
          <t>James Whitfield</t>
        </is>
      </c>
      <c r="C7" s="5" t="inlineStr">
        <is>
          <t>Driver's License</t>
        </is>
      </c>
      <c r="D7" s="5" t="inlineStr">
        <is>
          <t>Yes</t>
        </is>
      </c>
      <c r="E7" s="5" t="inlineStr">
        <is>
          <t>Yes</t>
        </is>
      </c>
      <c r="F7" s="10" t="n">
        <v>46116</v>
      </c>
      <c r="G7" s="5" t="inlineStr">
        <is>
          <t>Rachel Foster</t>
        </is>
      </c>
      <c r="H7" s="5" t="n"/>
    </row>
    <row r="8">
      <c r="A8" s="2" t="inlineStr">
        <is>
          <t>RC-1001</t>
        </is>
      </c>
      <c r="B8" s="2" t="inlineStr">
        <is>
          <t>James Whitfield</t>
        </is>
      </c>
      <c r="C8" s="2" t="inlineStr">
        <is>
          <t>Employment History (10 years)</t>
        </is>
      </c>
      <c r="D8" s="2" t="inlineStr">
        <is>
          <t>Yes</t>
        </is>
      </c>
      <c r="E8" s="2" t="inlineStr">
        <is>
          <t>Yes</t>
        </is>
      </c>
      <c r="F8" s="8" t="n">
        <v>46117</v>
      </c>
      <c r="G8" s="2" t="inlineStr">
        <is>
          <t>Rachel Foster</t>
        </is>
      </c>
      <c r="H8" s="2" t="inlineStr">
        <is>
          <t>10 year history verified</t>
        </is>
      </c>
    </row>
    <row r="9">
      <c r="A9" s="5" t="inlineStr">
        <is>
          <t>RC-1001</t>
        </is>
      </c>
      <c r="B9" s="5" t="inlineStr">
        <is>
          <t>James Whitfield</t>
        </is>
      </c>
      <c r="C9" s="17" t="inlineStr">
        <is>
          <t>Education Transcripts</t>
        </is>
      </c>
      <c r="D9" s="17" t="inlineStr">
        <is>
          <t>Yes</t>
        </is>
      </c>
      <c r="E9" s="17" t="inlineStr">
        <is>
          <t>No</t>
        </is>
      </c>
      <c r="F9" s="16" t="n"/>
      <c r="G9" s="17" t="n"/>
      <c r="H9" s="17" t="inlineStr">
        <is>
          <t>Awaiting transcripts from LSU</t>
        </is>
      </c>
    </row>
    <row r="10">
      <c r="A10" s="2" t="inlineStr">
        <is>
          <t>RC-1001</t>
        </is>
      </c>
      <c r="B10" s="2" t="inlineStr">
        <is>
          <t>James Whitfield</t>
        </is>
      </c>
      <c r="C10" s="2" t="inlineStr">
        <is>
          <t>Residence History (10 years)</t>
        </is>
      </c>
      <c r="D10" s="2" t="inlineStr">
        <is>
          <t>Yes</t>
        </is>
      </c>
      <c r="E10" s="2" t="inlineStr">
        <is>
          <t>Yes</t>
        </is>
      </c>
      <c r="F10" s="8" t="n">
        <v>46117</v>
      </c>
      <c r="G10" s="2" t="inlineStr">
        <is>
          <t>Rachel Foster</t>
        </is>
      </c>
      <c r="H10" s="2" t="n"/>
    </row>
    <row r="11">
      <c r="A11" s="5" t="inlineStr">
        <is>
          <t>RC-1001</t>
        </is>
      </c>
      <c r="B11" s="5" t="inlineStr">
        <is>
          <t>James Whitfield</t>
        </is>
      </c>
      <c r="C11" s="5" t="inlineStr">
        <is>
          <t>Reference Contact List (min 3)</t>
        </is>
      </c>
      <c r="D11" s="5" t="inlineStr">
        <is>
          <t>Yes</t>
        </is>
      </c>
      <c r="E11" s="5" t="inlineStr">
        <is>
          <t>Yes</t>
        </is>
      </c>
      <c r="F11" s="10" t="n">
        <v>46117</v>
      </c>
      <c r="G11" s="5" t="inlineStr">
        <is>
          <t>Rachel Foster</t>
        </is>
      </c>
      <c r="H11" s="5" t="inlineStr">
        <is>
          <t>3 references provided</t>
        </is>
      </c>
    </row>
    <row r="12">
      <c r="A12" s="2" t="inlineStr">
        <is>
          <t>RC-1001</t>
        </is>
      </c>
      <c r="B12" s="2" t="inlineStr">
        <is>
          <t>James Whitfield</t>
        </is>
      </c>
      <c r="C12" s="17" t="inlineStr">
        <is>
          <t>Financial Disclosure</t>
        </is>
      </c>
      <c r="D12" s="17" t="inlineStr">
        <is>
          <t>Yes</t>
        </is>
      </c>
      <c r="E12" s="17" t="inlineStr">
        <is>
          <t>No</t>
        </is>
      </c>
      <c r="F12" s="16" t="n"/>
      <c r="G12" s="17" t="n"/>
      <c r="H12" s="17" t="inlineStr">
        <is>
          <t>Requested from candidate</t>
        </is>
      </c>
    </row>
    <row r="13">
      <c r="A13" s="5" t="inlineStr">
        <is>
          <t>RC-1001</t>
        </is>
      </c>
      <c r="B13" s="5" t="inlineStr">
        <is>
          <t>James Whitfield</t>
        </is>
      </c>
      <c r="C13" s="17" t="inlineStr">
        <is>
          <t>Foreign Travel Records</t>
        </is>
      </c>
      <c r="D13" s="17" t="inlineStr">
        <is>
          <t>Yes</t>
        </is>
      </c>
      <c r="E13" s="17" t="inlineStr">
        <is>
          <t>No</t>
        </is>
      </c>
      <c r="F13" s="16" t="n"/>
      <c r="G13" s="17" t="n"/>
      <c r="H13" s="17" t="inlineStr">
        <is>
          <t>N/A per candidate</t>
        </is>
      </c>
    </row>
    <row r="14">
      <c r="A14" s="2" t="inlineStr">
        <is>
          <t>RC-1001</t>
        </is>
      </c>
      <c r="B14" s="2" t="inlineStr">
        <is>
          <t>James Whitfield</t>
        </is>
      </c>
      <c r="C14" s="2" t="inlineStr">
        <is>
          <t>Military Records (if applicable)</t>
        </is>
      </c>
      <c r="D14" s="2" t="inlineStr">
        <is>
          <t>No</t>
        </is>
      </c>
      <c r="E14" s="2" t="inlineStr">
        <is>
          <t>No</t>
        </is>
      </c>
      <c r="F14" s="8" t="n"/>
      <c r="G14" s="2" t="n"/>
      <c r="H14" s="2" t="inlineStr">
        <is>
          <t>Not applicable</t>
        </is>
      </c>
    </row>
    <row r="15">
      <c r="A15" s="5" t="inlineStr">
        <is>
          <t>RC-1001</t>
        </is>
      </c>
      <c r="B15" s="5" t="inlineStr">
        <is>
          <t>James Whitfield</t>
        </is>
      </c>
      <c r="C15" s="5" t="inlineStr">
        <is>
          <t>Court Records (if applicable)</t>
        </is>
      </c>
      <c r="D15" s="5" t="inlineStr">
        <is>
          <t>No</t>
        </is>
      </c>
      <c r="E15" s="5" t="inlineStr">
        <is>
          <t>No</t>
        </is>
      </c>
      <c r="F15" s="10" t="n"/>
      <c r="G15" s="5" t="n"/>
      <c r="H15" s="5" t="inlineStr">
        <is>
          <t>Not applicable</t>
        </is>
      </c>
    </row>
    <row r="16">
      <c r="A16" s="2" t="inlineStr">
        <is>
          <t>RC-1001</t>
        </is>
      </c>
      <c r="B16" s="2" t="inlineStr">
        <is>
          <t>James Whitfield</t>
        </is>
      </c>
      <c r="C16" s="2" t="inlineStr">
        <is>
          <t>Credit Report Authorization</t>
        </is>
      </c>
      <c r="D16" s="2" t="inlineStr">
        <is>
          <t>Yes</t>
        </is>
      </c>
      <c r="E16" s="2" t="inlineStr">
        <is>
          <t>Yes</t>
        </is>
      </c>
      <c r="F16" s="8" t="n">
        <v>46117</v>
      </c>
      <c r="G16" s="2" t="inlineStr">
        <is>
          <t>Rachel Foster</t>
        </is>
      </c>
      <c r="H16" s="2" t="inlineStr">
        <is>
          <t>Signed</t>
        </is>
      </c>
    </row>
    <row r="17">
      <c r="A17" s="5" t="inlineStr">
        <is>
          <t>RC-1002</t>
        </is>
      </c>
      <c r="B17" s="5" t="inlineStr">
        <is>
          <t>Maria Santos</t>
        </is>
      </c>
      <c r="C17" s="5" t="inlineStr">
        <is>
          <t>SF-86 Questionnaire</t>
        </is>
      </c>
      <c r="D17" s="5" t="inlineStr">
        <is>
          <t>Yes</t>
        </is>
      </c>
      <c r="E17" s="5" t="inlineStr">
        <is>
          <t>Yes</t>
        </is>
      </c>
      <c r="F17" s="10" t="n">
        <v>46096</v>
      </c>
      <c r="G17" s="5" t="inlineStr">
        <is>
          <t>Rachel Foster</t>
        </is>
      </c>
      <c r="H17" s="5" t="inlineStr">
        <is>
          <t>Complete</t>
        </is>
      </c>
    </row>
    <row r="18">
      <c r="A18" s="2" t="inlineStr">
        <is>
          <t>RC-1002</t>
        </is>
      </c>
      <c r="B18" s="2" t="inlineStr">
        <is>
          <t>Maria Santos</t>
        </is>
      </c>
      <c r="C18" s="2" t="inlineStr">
        <is>
          <t>Release Forms (Authorization &amp; HIPAA)</t>
        </is>
      </c>
      <c r="D18" s="2" t="inlineStr">
        <is>
          <t>Yes</t>
        </is>
      </c>
      <c r="E18" s="2" t="inlineStr">
        <is>
          <t>Yes</t>
        </is>
      </c>
      <c r="F18" s="8" t="n">
        <v>46096</v>
      </c>
      <c r="G18" s="2" t="inlineStr">
        <is>
          <t>Rachel Foster</t>
        </is>
      </c>
      <c r="H18" s="2" t="inlineStr">
        <is>
          <t>Signed</t>
        </is>
      </c>
    </row>
    <row r="19">
      <c r="A19" s="5" t="inlineStr">
        <is>
          <t>RC-1002</t>
        </is>
      </c>
      <c r="B19" s="5" t="inlineStr">
        <is>
          <t>Maria Santos</t>
        </is>
      </c>
      <c r="C19" s="5" t="inlineStr">
        <is>
          <t>Fingerprint Cards (FD-258)</t>
        </is>
      </c>
      <c r="D19" s="5" t="inlineStr">
        <is>
          <t>Yes</t>
        </is>
      </c>
      <c r="E19" s="5" t="inlineStr">
        <is>
          <t>Yes</t>
        </is>
      </c>
      <c r="F19" s="10" t="n">
        <v>46097</v>
      </c>
      <c r="G19" s="5" t="inlineStr">
        <is>
          <t>Rachel Foster</t>
        </is>
      </c>
      <c r="H19" s="5" t="n"/>
    </row>
    <row r="20">
      <c r="A20" s="2" t="inlineStr">
        <is>
          <t>RC-1002</t>
        </is>
      </c>
      <c r="B20" s="2" t="inlineStr">
        <is>
          <t>Maria Santos</t>
        </is>
      </c>
      <c r="C20" s="2" t="inlineStr">
        <is>
          <t>Birth Certificate or Passport</t>
        </is>
      </c>
      <c r="D20" s="2" t="inlineStr">
        <is>
          <t>Yes</t>
        </is>
      </c>
      <c r="E20" s="2" t="inlineStr">
        <is>
          <t>Yes</t>
        </is>
      </c>
      <c r="F20" s="8" t="n">
        <v>46096</v>
      </c>
      <c r="G20" s="2" t="inlineStr">
        <is>
          <t>Rachel Foster</t>
        </is>
      </c>
      <c r="H20" s="2" t="inlineStr">
        <is>
          <t>Birth certificate</t>
        </is>
      </c>
    </row>
    <row r="21">
      <c r="A21" s="5" t="inlineStr">
        <is>
          <t>RC-1002</t>
        </is>
      </c>
      <c r="B21" s="5" t="inlineStr">
        <is>
          <t>Maria Santos</t>
        </is>
      </c>
      <c r="C21" s="5" t="inlineStr">
        <is>
          <t>Social Security Card</t>
        </is>
      </c>
      <c r="D21" s="5" t="inlineStr">
        <is>
          <t>Yes</t>
        </is>
      </c>
      <c r="E21" s="5" t="inlineStr">
        <is>
          <t>Yes</t>
        </is>
      </c>
      <c r="F21" s="10" t="n">
        <v>46096</v>
      </c>
      <c r="G21" s="5" t="inlineStr">
        <is>
          <t>Rachel Foster</t>
        </is>
      </c>
      <c r="H21" s="5" t="n"/>
    </row>
    <row r="22">
      <c r="A22" s="2" t="inlineStr">
        <is>
          <t>RC-1002</t>
        </is>
      </c>
      <c r="B22" s="2" t="inlineStr">
        <is>
          <t>Maria Santos</t>
        </is>
      </c>
      <c r="C22" s="2" t="inlineStr">
        <is>
          <t>Driver's License</t>
        </is>
      </c>
      <c r="D22" s="2" t="inlineStr">
        <is>
          <t>Yes</t>
        </is>
      </c>
      <c r="E22" s="2" t="inlineStr">
        <is>
          <t>Yes</t>
        </is>
      </c>
      <c r="F22" s="8" t="n">
        <v>46096</v>
      </c>
      <c r="G22" s="2" t="inlineStr">
        <is>
          <t>Rachel Foster</t>
        </is>
      </c>
      <c r="H22" s="2" t="n"/>
    </row>
    <row r="23">
      <c r="A23" s="5" t="inlineStr">
        <is>
          <t>RC-1002</t>
        </is>
      </c>
      <c r="B23" s="5" t="inlineStr">
        <is>
          <t>Maria Santos</t>
        </is>
      </c>
      <c r="C23" s="5" t="inlineStr">
        <is>
          <t>Employment History (10 years)</t>
        </is>
      </c>
      <c r="D23" s="5" t="inlineStr">
        <is>
          <t>Yes</t>
        </is>
      </c>
      <c r="E23" s="5" t="inlineStr">
        <is>
          <t>Yes</t>
        </is>
      </c>
      <c r="F23" s="10" t="n">
        <v>46097</v>
      </c>
      <c r="G23" s="5" t="inlineStr">
        <is>
          <t>Rachel Foster</t>
        </is>
      </c>
      <c r="H23" s="5" t="inlineStr">
        <is>
          <t>Verified</t>
        </is>
      </c>
    </row>
    <row r="24">
      <c r="A24" s="2" t="inlineStr">
        <is>
          <t>RC-1002</t>
        </is>
      </c>
      <c r="B24" s="2" t="inlineStr">
        <is>
          <t>Maria Santos</t>
        </is>
      </c>
      <c r="C24" s="2" t="inlineStr">
        <is>
          <t>Education Transcripts</t>
        </is>
      </c>
      <c r="D24" s="2" t="inlineStr">
        <is>
          <t>Yes</t>
        </is>
      </c>
      <c r="E24" s="2" t="inlineStr">
        <is>
          <t>Yes</t>
        </is>
      </c>
      <c r="F24" s="8" t="n">
        <v>46097</v>
      </c>
      <c r="G24" s="2" t="inlineStr">
        <is>
          <t>Rachel Foster</t>
        </is>
      </c>
      <c r="H24" s="2" t="inlineStr">
        <is>
          <t>BS Computer Science</t>
        </is>
      </c>
    </row>
    <row r="25">
      <c r="A25" s="5" t="inlineStr">
        <is>
          <t>RC-1002</t>
        </is>
      </c>
      <c r="B25" s="5" t="inlineStr">
        <is>
          <t>Maria Santos</t>
        </is>
      </c>
      <c r="C25" s="5" t="inlineStr">
        <is>
          <t>Residence History (10 years)</t>
        </is>
      </c>
      <c r="D25" s="5" t="inlineStr">
        <is>
          <t>Yes</t>
        </is>
      </c>
      <c r="E25" s="5" t="inlineStr">
        <is>
          <t>Yes</t>
        </is>
      </c>
      <c r="F25" s="10" t="n">
        <v>46097</v>
      </c>
      <c r="G25" s="5" t="inlineStr">
        <is>
          <t>Rachel Foster</t>
        </is>
      </c>
      <c r="H25" s="5" t="n"/>
    </row>
    <row r="26">
      <c r="A26" s="2" t="inlineStr">
        <is>
          <t>RC-1002</t>
        </is>
      </c>
      <c r="B26" s="2" t="inlineStr">
        <is>
          <t>Maria Santos</t>
        </is>
      </c>
      <c r="C26" s="2" t="inlineStr">
        <is>
          <t>Reference Contact List (min 3)</t>
        </is>
      </c>
      <c r="D26" s="2" t="inlineStr">
        <is>
          <t>Yes</t>
        </is>
      </c>
      <c r="E26" s="2" t="inlineStr">
        <is>
          <t>Yes</t>
        </is>
      </c>
      <c r="F26" s="8" t="n">
        <v>46097</v>
      </c>
      <c r="G26" s="2" t="inlineStr">
        <is>
          <t>Rachel Foster</t>
        </is>
      </c>
      <c r="H26" s="2" t="inlineStr">
        <is>
          <t>4 references</t>
        </is>
      </c>
    </row>
    <row r="27">
      <c r="A27" s="5" t="inlineStr">
        <is>
          <t>RC-1002</t>
        </is>
      </c>
      <c r="B27" s="5" t="inlineStr">
        <is>
          <t>Maria Santos</t>
        </is>
      </c>
      <c r="C27" s="5" t="inlineStr">
        <is>
          <t>Financial Disclosure</t>
        </is>
      </c>
      <c r="D27" s="5" t="inlineStr">
        <is>
          <t>Yes</t>
        </is>
      </c>
      <c r="E27" s="5" t="inlineStr">
        <is>
          <t>Yes</t>
        </is>
      </c>
      <c r="F27" s="10" t="n">
        <v>46098</v>
      </c>
      <c r="G27" s="5" t="inlineStr">
        <is>
          <t>Rachel Foster</t>
        </is>
      </c>
      <c r="H27" s="5" t="n"/>
    </row>
    <row r="28">
      <c r="A28" s="2" t="inlineStr">
        <is>
          <t>RC-1002</t>
        </is>
      </c>
      <c r="B28" s="2" t="inlineStr">
        <is>
          <t>Maria Santos</t>
        </is>
      </c>
      <c r="C28" s="2" t="inlineStr">
        <is>
          <t>Foreign Travel Records</t>
        </is>
      </c>
      <c r="D28" s="2" t="inlineStr">
        <is>
          <t>Yes</t>
        </is>
      </c>
      <c r="E28" s="2" t="inlineStr">
        <is>
          <t>Yes</t>
        </is>
      </c>
      <c r="F28" s="8" t="n">
        <v>46098</v>
      </c>
      <c r="G28" s="2" t="inlineStr">
        <is>
          <t>Rachel Foster</t>
        </is>
      </c>
      <c r="H28" s="2" t="inlineStr">
        <is>
          <t>No foreign travel</t>
        </is>
      </c>
    </row>
    <row r="29">
      <c r="A29" s="5" t="inlineStr">
        <is>
          <t>RC-1002</t>
        </is>
      </c>
      <c r="B29" s="5" t="inlineStr">
        <is>
          <t>Maria Santos</t>
        </is>
      </c>
      <c r="C29" s="5" t="inlineStr">
        <is>
          <t>Military Records (if applicable)</t>
        </is>
      </c>
      <c r="D29" s="5" t="inlineStr">
        <is>
          <t>No</t>
        </is>
      </c>
      <c r="E29" s="5" t="inlineStr">
        <is>
          <t>No</t>
        </is>
      </c>
      <c r="F29" s="10" t="n"/>
      <c r="G29" s="5" t="n"/>
      <c r="H29" s="5" t="inlineStr">
        <is>
          <t>Not applicable</t>
        </is>
      </c>
    </row>
    <row r="30">
      <c r="A30" s="2" t="inlineStr">
        <is>
          <t>RC-1002</t>
        </is>
      </c>
      <c r="B30" s="2" t="inlineStr">
        <is>
          <t>Maria Santos</t>
        </is>
      </c>
      <c r="C30" s="2" t="inlineStr">
        <is>
          <t>Court Records (if applicable)</t>
        </is>
      </c>
      <c r="D30" s="2" t="inlineStr">
        <is>
          <t>No</t>
        </is>
      </c>
      <c r="E30" s="2" t="inlineStr">
        <is>
          <t>No</t>
        </is>
      </c>
      <c r="F30" s="8" t="n"/>
      <c r="G30" s="2" t="n"/>
      <c r="H30" s="2" t="inlineStr">
        <is>
          <t>Not applicable</t>
        </is>
      </c>
    </row>
    <row r="31">
      <c r="A31" s="5" t="inlineStr">
        <is>
          <t>RC-1002</t>
        </is>
      </c>
      <c r="B31" s="5" t="inlineStr">
        <is>
          <t>Maria Santos</t>
        </is>
      </c>
      <c r="C31" s="5" t="inlineStr">
        <is>
          <t>Credit Report Authorization</t>
        </is>
      </c>
      <c r="D31" s="5" t="inlineStr">
        <is>
          <t>Yes</t>
        </is>
      </c>
      <c r="E31" s="5" t="inlineStr">
        <is>
          <t>Yes</t>
        </is>
      </c>
      <c r="F31" s="10" t="n">
        <v>46096</v>
      </c>
      <c r="G31" s="5" t="inlineStr">
        <is>
          <t>Rachel Foster</t>
        </is>
      </c>
      <c r="H31" s="5" t="inlineStr">
        <is>
          <t>Signed</t>
        </is>
      </c>
    </row>
    <row r="32">
      <c r="A32" s="2" t="inlineStr">
        <is>
          <t>RC-1007</t>
        </is>
      </c>
      <c r="B32" s="2" t="inlineStr">
        <is>
          <t>Andre Williams</t>
        </is>
      </c>
      <c r="C32" s="2" t="inlineStr">
        <is>
          <t>SF-86 Questionnaire</t>
        </is>
      </c>
      <c r="D32" s="2" t="inlineStr">
        <is>
          <t>Yes</t>
        </is>
      </c>
      <c r="E32" s="2" t="inlineStr">
        <is>
          <t>Yes</t>
        </is>
      </c>
      <c r="F32" s="8" t="n">
        <v>46077</v>
      </c>
      <c r="G32" s="2" t="inlineStr">
        <is>
          <t>Tom Bradley</t>
        </is>
      </c>
      <c r="H32" s="2" t="inlineStr">
        <is>
          <t>Complete - corrected</t>
        </is>
      </c>
    </row>
    <row r="33">
      <c r="A33" s="5" t="inlineStr">
        <is>
          <t>RC-1007</t>
        </is>
      </c>
      <c r="B33" s="5" t="inlineStr">
        <is>
          <t>Andre Williams</t>
        </is>
      </c>
      <c r="C33" s="5" t="inlineStr">
        <is>
          <t>Release Forms (Authorization &amp; HIPAA)</t>
        </is>
      </c>
      <c r="D33" s="5" t="inlineStr">
        <is>
          <t>Yes</t>
        </is>
      </c>
      <c r="E33" s="5" t="inlineStr">
        <is>
          <t>Yes</t>
        </is>
      </c>
      <c r="F33" s="10" t="n">
        <v>46077</v>
      </c>
      <c r="G33" s="5" t="inlineStr">
        <is>
          <t>Tom Bradley</t>
        </is>
      </c>
      <c r="H33" s="5" t="inlineStr">
        <is>
          <t>Signed</t>
        </is>
      </c>
    </row>
    <row r="34">
      <c r="A34" s="2" t="inlineStr">
        <is>
          <t>RC-1007</t>
        </is>
      </c>
      <c r="B34" s="2" t="inlineStr">
        <is>
          <t>Andre Williams</t>
        </is>
      </c>
      <c r="C34" s="2" t="inlineStr">
        <is>
          <t>Fingerprint Cards (FD-258)</t>
        </is>
      </c>
      <c r="D34" s="2" t="inlineStr">
        <is>
          <t>Yes</t>
        </is>
      </c>
      <c r="E34" s="2" t="inlineStr">
        <is>
          <t>Yes</t>
        </is>
      </c>
      <c r="F34" s="8" t="n">
        <v>46078</v>
      </c>
      <c r="G34" s="2" t="inlineStr">
        <is>
          <t>Tom Bradley</t>
        </is>
      </c>
      <c r="H34" s="2" t="n"/>
    </row>
    <row r="35">
      <c r="A35" s="5" t="inlineStr">
        <is>
          <t>RC-1007</t>
        </is>
      </c>
      <c r="B35" s="5" t="inlineStr">
        <is>
          <t>Andre Williams</t>
        </is>
      </c>
      <c r="C35" s="5" t="inlineStr">
        <is>
          <t>Birth Certificate or Passport</t>
        </is>
      </c>
      <c r="D35" s="5" t="inlineStr">
        <is>
          <t>Yes</t>
        </is>
      </c>
      <c r="E35" s="5" t="inlineStr">
        <is>
          <t>Yes</t>
        </is>
      </c>
      <c r="F35" s="10" t="n">
        <v>46077</v>
      </c>
      <c r="G35" s="5" t="inlineStr">
        <is>
          <t>Tom Bradley</t>
        </is>
      </c>
      <c r="H35" s="5" t="inlineStr">
        <is>
          <t>Passport</t>
        </is>
      </c>
    </row>
    <row r="36">
      <c r="A36" s="2" t="inlineStr">
        <is>
          <t>RC-1007</t>
        </is>
      </c>
      <c r="B36" s="2" t="inlineStr">
        <is>
          <t>Andre Williams</t>
        </is>
      </c>
      <c r="C36" s="2" t="inlineStr">
        <is>
          <t>Social Security Card</t>
        </is>
      </c>
      <c r="D36" s="2" t="inlineStr">
        <is>
          <t>Yes</t>
        </is>
      </c>
      <c r="E36" s="2" t="inlineStr">
        <is>
          <t>Yes</t>
        </is>
      </c>
      <c r="F36" s="8" t="n">
        <v>46077</v>
      </c>
      <c r="G36" s="2" t="inlineStr">
        <is>
          <t>Tom Bradley</t>
        </is>
      </c>
      <c r="H36" s="2" t="n"/>
    </row>
    <row r="37">
      <c r="A37" s="5" t="inlineStr">
        <is>
          <t>RC-1007</t>
        </is>
      </c>
      <c r="B37" s="5" t="inlineStr">
        <is>
          <t>Andre Williams</t>
        </is>
      </c>
      <c r="C37" s="5" t="inlineStr">
        <is>
          <t>Driver's License</t>
        </is>
      </c>
      <c r="D37" s="5" t="inlineStr">
        <is>
          <t>Yes</t>
        </is>
      </c>
      <c r="E37" s="5" t="inlineStr">
        <is>
          <t>Yes</t>
        </is>
      </c>
      <c r="F37" s="10" t="n">
        <v>46077</v>
      </c>
      <c r="G37" s="5" t="inlineStr">
        <is>
          <t>Tom Bradley</t>
        </is>
      </c>
      <c r="H37" s="5" t="n"/>
    </row>
    <row r="38">
      <c r="A38" s="2" t="inlineStr">
        <is>
          <t>RC-1007</t>
        </is>
      </c>
      <c r="B38" s="2" t="inlineStr">
        <is>
          <t>Andre Williams</t>
        </is>
      </c>
      <c r="C38" s="2" t="inlineStr">
        <is>
          <t>Employment History (10 years)</t>
        </is>
      </c>
      <c r="D38" s="2" t="inlineStr">
        <is>
          <t>Yes</t>
        </is>
      </c>
      <c r="E38" s="2" t="inlineStr">
        <is>
          <t>Yes</t>
        </is>
      </c>
      <c r="F38" s="8" t="n">
        <v>46078</v>
      </c>
      <c r="G38" s="2" t="inlineStr">
        <is>
          <t>Tom Bradley</t>
        </is>
      </c>
      <c r="H38" s="2" t="inlineStr">
        <is>
          <t>Verified</t>
        </is>
      </c>
    </row>
    <row r="39">
      <c r="A39" s="5" t="inlineStr">
        <is>
          <t>RC-1007</t>
        </is>
      </c>
      <c r="B39" s="5" t="inlineStr">
        <is>
          <t>Andre Williams</t>
        </is>
      </c>
      <c r="C39" s="5" t="inlineStr">
        <is>
          <t>Education Transcripts</t>
        </is>
      </c>
      <c r="D39" s="5" t="inlineStr">
        <is>
          <t>Yes</t>
        </is>
      </c>
      <c r="E39" s="5" t="inlineStr">
        <is>
          <t>Yes</t>
        </is>
      </c>
      <c r="F39" s="10" t="n">
        <v>46078</v>
      </c>
      <c r="G39" s="5" t="inlineStr">
        <is>
          <t>Tom Bradley</t>
        </is>
      </c>
      <c r="H39" s="5" t="inlineStr">
        <is>
          <t>MS IT</t>
        </is>
      </c>
    </row>
    <row r="40">
      <c r="A40" s="2" t="inlineStr">
        <is>
          <t>RC-1007</t>
        </is>
      </c>
      <c r="B40" s="2" t="inlineStr">
        <is>
          <t>Andre Williams</t>
        </is>
      </c>
      <c r="C40" s="2" t="inlineStr">
        <is>
          <t>Residence History (10 years)</t>
        </is>
      </c>
      <c r="D40" s="2" t="inlineStr">
        <is>
          <t>Yes</t>
        </is>
      </c>
      <c r="E40" s="2" t="inlineStr">
        <is>
          <t>Yes</t>
        </is>
      </c>
      <c r="F40" s="8" t="n">
        <v>46078</v>
      </c>
      <c r="G40" s="2" t="inlineStr">
        <is>
          <t>Tom Bradley</t>
        </is>
      </c>
      <c r="H40" s="2" t="n"/>
    </row>
    <row r="41">
      <c r="A41" s="5" t="inlineStr">
        <is>
          <t>RC-1007</t>
        </is>
      </c>
      <c r="B41" s="5" t="inlineStr">
        <is>
          <t>Andre Williams</t>
        </is>
      </c>
      <c r="C41" s="5" t="inlineStr">
        <is>
          <t>Reference Contact List (min 3)</t>
        </is>
      </c>
      <c r="D41" s="5" t="inlineStr">
        <is>
          <t>Yes</t>
        </is>
      </c>
      <c r="E41" s="5" t="inlineStr">
        <is>
          <t>Yes</t>
        </is>
      </c>
      <c r="F41" s="10" t="n">
        <v>46078</v>
      </c>
      <c r="G41" s="5" t="inlineStr">
        <is>
          <t>Tom Bradley</t>
        </is>
      </c>
      <c r="H41" s="5" t="inlineStr">
        <is>
          <t>5 references</t>
        </is>
      </c>
    </row>
    <row r="42">
      <c r="A42" s="2" t="inlineStr">
        <is>
          <t>RC-1007</t>
        </is>
      </c>
      <c r="B42" s="2" t="inlineStr">
        <is>
          <t>Andre Williams</t>
        </is>
      </c>
      <c r="C42" s="2" t="inlineStr">
        <is>
          <t>Financial Disclosure</t>
        </is>
      </c>
      <c r="D42" s="2" t="inlineStr">
        <is>
          <t>Yes</t>
        </is>
      </c>
      <c r="E42" s="2" t="inlineStr">
        <is>
          <t>Yes</t>
        </is>
      </c>
      <c r="F42" s="8" t="n">
        <v>46079</v>
      </c>
      <c r="G42" s="2" t="inlineStr">
        <is>
          <t>Tom Bradley</t>
        </is>
      </c>
      <c r="H42" s="2" t="n"/>
    </row>
    <row r="43">
      <c r="A43" s="5" t="inlineStr">
        <is>
          <t>RC-1007</t>
        </is>
      </c>
      <c r="B43" s="5" t="inlineStr">
        <is>
          <t>Andre Williams</t>
        </is>
      </c>
      <c r="C43" s="5" t="inlineStr">
        <is>
          <t>Foreign Travel Records</t>
        </is>
      </c>
      <c r="D43" s="5" t="inlineStr">
        <is>
          <t>Yes</t>
        </is>
      </c>
      <c r="E43" s="5" t="inlineStr">
        <is>
          <t>Yes</t>
        </is>
      </c>
      <c r="F43" s="10" t="n">
        <v>46079</v>
      </c>
      <c r="G43" s="5" t="inlineStr">
        <is>
          <t>Tom Bradley</t>
        </is>
      </c>
      <c r="H43" s="5" t="inlineStr">
        <is>
          <t>Foreign travel corrected</t>
        </is>
      </c>
    </row>
    <row r="44">
      <c r="A44" s="2" t="inlineStr">
        <is>
          <t>RC-1007</t>
        </is>
      </c>
      <c r="B44" s="2" t="inlineStr">
        <is>
          <t>Andre Williams</t>
        </is>
      </c>
      <c r="C44" s="2" t="inlineStr">
        <is>
          <t>Military Records (if applicable)</t>
        </is>
      </c>
      <c r="D44" s="2" t="inlineStr">
        <is>
          <t>Yes</t>
        </is>
      </c>
      <c r="E44" s="2" t="inlineStr">
        <is>
          <t>Yes</t>
        </is>
      </c>
      <c r="F44" s="8" t="n">
        <v>46077</v>
      </c>
      <c r="G44" s="2" t="inlineStr">
        <is>
          <t>Tom Bradley</t>
        </is>
      </c>
      <c r="H44" s="2" t="inlineStr">
        <is>
          <t>Army veteran</t>
        </is>
      </c>
    </row>
    <row r="45">
      <c r="A45" s="5" t="inlineStr">
        <is>
          <t>RC-1007</t>
        </is>
      </c>
      <c r="B45" s="5" t="inlineStr">
        <is>
          <t>Andre Williams</t>
        </is>
      </c>
      <c r="C45" s="5" t="inlineStr">
        <is>
          <t>Court Records (if applicable)</t>
        </is>
      </c>
      <c r="D45" s="5" t="inlineStr">
        <is>
          <t>No</t>
        </is>
      </c>
      <c r="E45" s="5" t="inlineStr">
        <is>
          <t>No</t>
        </is>
      </c>
      <c r="F45" s="10" t="n"/>
      <c r="G45" s="5" t="n"/>
      <c r="H45" s="5" t="inlineStr">
        <is>
          <t>Not applicable</t>
        </is>
      </c>
    </row>
    <row r="46">
      <c r="A46" s="2" t="inlineStr">
        <is>
          <t>RC-1007</t>
        </is>
      </c>
      <c r="B46" s="2" t="inlineStr">
        <is>
          <t>Andre Williams</t>
        </is>
      </c>
      <c r="C46" s="2" t="inlineStr">
        <is>
          <t>Credit Report Authorization</t>
        </is>
      </c>
      <c r="D46" s="2" t="inlineStr">
        <is>
          <t>Yes</t>
        </is>
      </c>
      <c r="E46" s="2" t="inlineStr">
        <is>
          <t>Yes</t>
        </is>
      </c>
      <c r="F46" s="8" t="n">
        <v>46077</v>
      </c>
      <c r="G46" s="2" t="inlineStr">
        <is>
          <t>Tom Bradley</t>
        </is>
      </c>
      <c r="H46" s="2" t="inlineStr">
        <is>
          <t>Signed</t>
        </is>
      </c>
    </row>
    <row r="47">
      <c r="A47" s="5" t="inlineStr">
        <is>
          <t>RC-1013</t>
        </is>
      </c>
      <c r="B47" s="5" t="inlineStr">
        <is>
          <t>Thomas Clark</t>
        </is>
      </c>
      <c r="C47" s="5" t="inlineStr">
        <is>
          <t>SF-86 Questionnaire</t>
        </is>
      </c>
      <c r="D47" s="5" t="inlineStr">
        <is>
          <t>Yes</t>
        </is>
      </c>
      <c r="E47" s="5" t="inlineStr">
        <is>
          <t>Yes</t>
        </is>
      </c>
      <c r="F47" s="10" t="n">
        <v>46126</v>
      </c>
      <c r="G47" s="5" t="inlineStr">
        <is>
          <t>Tom Bradley</t>
        </is>
      </c>
      <c r="H47" s="5" t="inlineStr">
        <is>
          <t>In progress</t>
        </is>
      </c>
    </row>
    <row r="48">
      <c r="A48" s="2" t="inlineStr">
        <is>
          <t>RC-1013</t>
        </is>
      </c>
      <c r="B48" s="2" t="inlineStr">
        <is>
          <t>Thomas Clark</t>
        </is>
      </c>
      <c r="C48" s="2" t="inlineStr">
        <is>
          <t>Release Forms (Authorization &amp; HIPAA)</t>
        </is>
      </c>
      <c r="D48" s="2" t="inlineStr">
        <is>
          <t>Yes</t>
        </is>
      </c>
      <c r="E48" s="2" t="inlineStr">
        <is>
          <t>Yes</t>
        </is>
      </c>
      <c r="F48" s="8" t="n">
        <v>46126</v>
      </c>
      <c r="G48" s="2" t="inlineStr">
        <is>
          <t>Tom Bradley</t>
        </is>
      </c>
      <c r="H48" s="2" t="inlineStr">
        <is>
          <t>Signed</t>
        </is>
      </c>
    </row>
    <row r="49">
      <c r="A49" s="5" t="inlineStr">
        <is>
          <t>RC-1013</t>
        </is>
      </c>
      <c r="B49" s="5" t="inlineStr">
        <is>
          <t>Thomas Clark</t>
        </is>
      </c>
      <c r="C49" s="17" t="inlineStr">
        <is>
          <t>Fingerprint Cards (FD-258)</t>
        </is>
      </c>
      <c r="D49" s="17" t="inlineStr">
        <is>
          <t>Yes</t>
        </is>
      </c>
      <c r="E49" s="17" t="inlineStr">
        <is>
          <t>No</t>
        </is>
      </c>
      <c r="F49" s="16" t="n"/>
      <c r="G49" s="17" t="n"/>
      <c r="H49" s="17" t="inlineStr">
        <is>
          <t>Scheduled for 4/22</t>
        </is>
      </c>
    </row>
    <row r="50">
      <c r="A50" s="2" t="inlineStr">
        <is>
          <t>RC-1013</t>
        </is>
      </c>
      <c r="B50" s="2" t="inlineStr">
        <is>
          <t>Thomas Clark</t>
        </is>
      </c>
      <c r="C50" s="2" t="inlineStr">
        <is>
          <t>Birth Certificate or Passport</t>
        </is>
      </c>
      <c r="D50" s="2" t="inlineStr">
        <is>
          <t>Yes</t>
        </is>
      </c>
      <c r="E50" s="2" t="inlineStr">
        <is>
          <t>Yes</t>
        </is>
      </c>
      <c r="F50" s="8" t="n">
        <v>46126</v>
      </c>
      <c r="G50" s="2" t="inlineStr">
        <is>
          <t>Tom Bradley</t>
        </is>
      </c>
      <c r="H50" s="2" t="inlineStr">
        <is>
          <t>Passport</t>
        </is>
      </c>
    </row>
    <row r="51">
      <c r="A51" s="5" t="inlineStr">
        <is>
          <t>RC-1013</t>
        </is>
      </c>
      <c r="B51" s="5" t="inlineStr">
        <is>
          <t>Thomas Clark</t>
        </is>
      </c>
      <c r="C51" s="5" t="inlineStr">
        <is>
          <t>Social Security Card</t>
        </is>
      </c>
      <c r="D51" s="5" t="inlineStr">
        <is>
          <t>Yes</t>
        </is>
      </c>
      <c r="E51" s="5" t="inlineStr">
        <is>
          <t>Yes</t>
        </is>
      </c>
      <c r="F51" s="10" t="n">
        <v>46126</v>
      </c>
      <c r="G51" s="5" t="inlineStr">
        <is>
          <t>Tom Bradley</t>
        </is>
      </c>
      <c r="H51" s="5" t="n"/>
    </row>
    <row r="52">
      <c r="A52" s="2" t="inlineStr">
        <is>
          <t>RC-1013</t>
        </is>
      </c>
      <c r="B52" s="2" t="inlineStr">
        <is>
          <t>Thomas Clark</t>
        </is>
      </c>
      <c r="C52" s="2" t="inlineStr">
        <is>
          <t>Driver's License</t>
        </is>
      </c>
      <c r="D52" s="2" t="inlineStr">
        <is>
          <t>Yes</t>
        </is>
      </c>
      <c r="E52" s="2" t="inlineStr">
        <is>
          <t>Yes</t>
        </is>
      </c>
      <c r="F52" s="8" t="n">
        <v>46126</v>
      </c>
      <c r="G52" s="2" t="inlineStr">
        <is>
          <t>Tom Bradley</t>
        </is>
      </c>
      <c r="H52" s="2" t="n"/>
    </row>
    <row r="53">
      <c r="A53" s="5" t="inlineStr">
        <is>
          <t>RC-1013</t>
        </is>
      </c>
      <c r="B53" s="5" t="inlineStr">
        <is>
          <t>Thomas Clark</t>
        </is>
      </c>
      <c r="C53" s="17" t="inlineStr">
        <is>
          <t>Employment History (10 years)</t>
        </is>
      </c>
      <c r="D53" s="17" t="inlineStr">
        <is>
          <t>Yes</t>
        </is>
      </c>
      <c r="E53" s="17" t="inlineStr">
        <is>
          <t>No</t>
        </is>
      </c>
      <c r="F53" s="16" t="n"/>
      <c r="G53" s="17" t="n"/>
      <c r="H53" s="17" t="inlineStr">
        <is>
          <t>Gathering employer info</t>
        </is>
      </c>
    </row>
    <row r="54">
      <c r="A54" s="2" t="inlineStr">
        <is>
          <t>RC-1013</t>
        </is>
      </c>
      <c r="B54" s="2" t="inlineStr">
        <is>
          <t>Thomas Clark</t>
        </is>
      </c>
      <c r="C54" s="17" t="inlineStr">
        <is>
          <t>Education Transcripts</t>
        </is>
      </c>
      <c r="D54" s="17" t="inlineStr">
        <is>
          <t>Yes</t>
        </is>
      </c>
      <c r="E54" s="17" t="inlineStr">
        <is>
          <t>No</t>
        </is>
      </c>
      <c r="F54" s="16" t="n"/>
      <c r="G54" s="17" t="n"/>
      <c r="H54" s="17" t="inlineStr">
        <is>
          <t>Requested</t>
        </is>
      </c>
    </row>
    <row r="55">
      <c r="A55" s="5" t="inlineStr">
        <is>
          <t>RC-1013</t>
        </is>
      </c>
      <c r="B55" s="5" t="inlineStr">
        <is>
          <t>Thomas Clark</t>
        </is>
      </c>
      <c r="C55" s="5" t="inlineStr">
        <is>
          <t>Residence History (10 years)</t>
        </is>
      </c>
      <c r="D55" s="5" t="inlineStr">
        <is>
          <t>Yes</t>
        </is>
      </c>
      <c r="E55" s="5" t="inlineStr">
        <is>
          <t>Yes</t>
        </is>
      </c>
      <c r="F55" s="10" t="n">
        <v>46127</v>
      </c>
      <c r="G55" s="5" t="inlineStr">
        <is>
          <t>Tom Bradley</t>
        </is>
      </c>
      <c r="H55" s="5" t="n"/>
    </row>
    <row r="56">
      <c r="A56" s="2" t="inlineStr">
        <is>
          <t>RC-1013</t>
        </is>
      </c>
      <c r="B56" s="2" t="inlineStr">
        <is>
          <t>Thomas Clark</t>
        </is>
      </c>
      <c r="C56" s="17" t="inlineStr">
        <is>
          <t>Reference Contact List (min 3)</t>
        </is>
      </c>
      <c r="D56" s="17" t="inlineStr">
        <is>
          <t>Yes</t>
        </is>
      </c>
      <c r="E56" s="17" t="inlineStr">
        <is>
          <t>No</t>
        </is>
      </c>
      <c r="F56" s="16" t="n"/>
      <c r="G56" s="17" t="n"/>
      <c r="H56" s="17" t="inlineStr">
        <is>
          <t>2 of 3 provided</t>
        </is>
      </c>
    </row>
    <row r="57">
      <c r="A57" s="5" t="inlineStr">
        <is>
          <t>RC-1013</t>
        </is>
      </c>
      <c r="B57" s="5" t="inlineStr">
        <is>
          <t>Thomas Clark</t>
        </is>
      </c>
      <c r="C57" s="17" t="inlineStr">
        <is>
          <t>Financial Disclosure</t>
        </is>
      </c>
      <c r="D57" s="17" t="inlineStr">
        <is>
          <t>Yes</t>
        </is>
      </c>
      <c r="E57" s="17" t="inlineStr">
        <is>
          <t>No</t>
        </is>
      </c>
      <c r="F57" s="16" t="n"/>
      <c r="G57" s="17" t="n"/>
      <c r="H57" s="17" t="inlineStr">
        <is>
          <t>Not yet submitted</t>
        </is>
      </c>
    </row>
    <row r="58">
      <c r="A58" s="2" t="inlineStr">
        <is>
          <t>RC-1013</t>
        </is>
      </c>
      <c r="B58" s="2" t="inlineStr">
        <is>
          <t>Thomas Clark</t>
        </is>
      </c>
      <c r="C58" s="17" t="inlineStr">
        <is>
          <t>Foreign Travel Records</t>
        </is>
      </c>
      <c r="D58" s="17" t="inlineStr">
        <is>
          <t>Yes</t>
        </is>
      </c>
      <c r="E58" s="17" t="inlineStr">
        <is>
          <t>No</t>
        </is>
      </c>
      <c r="F58" s="16" t="n"/>
      <c r="G58" s="17" t="n"/>
      <c r="H58" s="17" t="inlineStr">
        <is>
          <t>Pending</t>
        </is>
      </c>
    </row>
    <row r="59">
      <c r="A59" s="5" t="inlineStr">
        <is>
          <t>RC-1013</t>
        </is>
      </c>
      <c r="B59" s="5" t="inlineStr">
        <is>
          <t>Thomas Clark</t>
        </is>
      </c>
      <c r="C59" s="5" t="inlineStr">
        <is>
          <t>Military Records (if applicable)</t>
        </is>
      </c>
      <c r="D59" s="5" t="inlineStr">
        <is>
          <t>No</t>
        </is>
      </c>
      <c r="E59" s="5" t="inlineStr">
        <is>
          <t>No</t>
        </is>
      </c>
      <c r="F59" s="10" t="n"/>
      <c r="G59" s="5" t="n"/>
      <c r="H59" s="5" t="inlineStr">
        <is>
          <t>Not applicable</t>
        </is>
      </c>
    </row>
    <row r="60">
      <c r="A60" s="2" t="inlineStr">
        <is>
          <t>RC-1013</t>
        </is>
      </c>
      <c r="B60" s="2" t="inlineStr">
        <is>
          <t>Thomas Clark</t>
        </is>
      </c>
      <c r="C60" s="2" t="inlineStr">
        <is>
          <t>Court Records (if applicable)</t>
        </is>
      </c>
      <c r="D60" s="2" t="inlineStr">
        <is>
          <t>No</t>
        </is>
      </c>
      <c r="E60" s="2" t="inlineStr">
        <is>
          <t>No</t>
        </is>
      </c>
      <c r="F60" s="8" t="n"/>
      <c r="G60" s="2" t="n"/>
      <c r="H60" s="2" t="inlineStr">
        <is>
          <t>Not applicable</t>
        </is>
      </c>
    </row>
    <row r="61">
      <c r="A61" s="5" t="inlineStr">
        <is>
          <t>RC-1013</t>
        </is>
      </c>
      <c r="B61" s="5" t="inlineStr">
        <is>
          <t>Thomas Clark</t>
        </is>
      </c>
      <c r="C61" s="5" t="inlineStr">
        <is>
          <t>Credit Report Authorization</t>
        </is>
      </c>
      <c r="D61" s="5" t="inlineStr">
        <is>
          <t>Yes</t>
        </is>
      </c>
      <c r="E61" s="5" t="inlineStr">
        <is>
          <t>Yes</t>
        </is>
      </c>
      <c r="F61" s="10" t="n">
        <v>46126</v>
      </c>
      <c r="G61" s="5" t="inlineStr">
        <is>
          <t>Tom Bradley</t>
        </is>
      </c>
      <c r="H61" s="5" t="inlineStr">
        <is>
          <t>Signed</t>
        </is>
      </c>
    </row>
    <row r="62">
      <c r="A62" s="2" t="inlineStr">
        <is>
          <t>RC-1015</t>
        </is>
      </c>
      <c r="B62" s="2" t="inlineStr">
        <is>
          <t>William Thompson</t>
        </is>
      </c>
      <c r="C62" s="2" t="inlineStr">
        <is>
          <t>SF-86 Questionnaire</t>
        </is>
      </c>
      <c r="D62" s="2" t="inlineStr">
        <is>
          <t>Yes</t>
        </is>
      </c>
      <c r="E62" s="2" t="inlineStr">
        <is>
          <t>Yes</t>
        </is>
      </c>
      <c r="F62" s="8" t="n">
        <v>46085</v>
      </c>
      <c r="G62" s="2" t="inlineStr">
        <is>
          <t>Tom Bradley</t>
        </is>
      </c>
      <c r="H62" s="2" t="inlineStr">
        <is>
          <t>Complete - corrected</t>
        </is>
      </c>
    </row>
    <row r="63">
      <c r="A63" s="5" t="inlineStr">
        <is>
          <t>RC-1015</t>
        </is>
      </c>
      <c r="B63" s="5" t="inlineStr">
        <is>
          <t>William Thompson</t>
        </is>
      </c>
      <c r="C63" s="5" t="inlineStr">
        <is>
          <t>Release Forms (Authorization &amp; HIPAA)</t>
        </is>
      </c>
      <c r="D63" s="5" t="inlineStr">
        <is>
          <t>Yes</t>
        </is>
      </c>
      <c r="E63" s="5" t="inlineStr">
        <is>
          <t>Yes</t>
        </is>
      </c>
      <c r="F63" s="10" t="n">
        <v>46085</v>
      </c>
      <c r="G63" s="5" t="inlineStr">
        <is>
          <t>Tom Bradley</t>
        </is>
      </c>
      <c r="H63" s="5" t="inlineStr">
        <is>
          <t>Signed</t>
        </is>
      </c>
    </row>
    <row r="64">
      <c r="A64" s="2" t="inlineStr">
        <is>
          <t>RC-1015</t>
        </is>
      </c>
      <c r="B64" s="2" t="inlineStr">
        <is>
          <t>William Thompson</t>
        </is>
      </c>
      <c r="C64" s="2" t="inlineStr">
        <is>
          <t>Fingerprint Cards (FD-258)</t>
        </is>
      </c>
      <c r="D64" s="2" t="inlineStr">
        <is>
          <t>Yes</t>
        </is>
      </c>
      <c r="E64" s="2" t="inlineStr">
        <is>
          <t>Yes</t>
        </is>
      </c>
      <c r="F64" s="8" t="n">
        <v>46086</v>
      </c>
      <c r="G64" s="2" t="inlineStr">
        <is>
          <t>Tom Bradley</t>
        </is>
      </c>
      <c r="H64" s="2" t="n"/>
    </row>
    <row r="65">
      <c r="A65" s="5" t="inlineStr">
        <is>
          <t>RC-1015</t>
        </is>
      </c>
      <c r="B65" s="5" t="inlineStr">
        <is>
          <t>William Thompson</t>
        </is>
      </c>
      <c r="C65" s="5" t="inlineStr">
        <is>
          <t>Birth Certificate or Passport</t>
        </is>
      </c>
      <c r="D65" s="5" t="inlineStr">
        <is>
          <t>Yes</t>
        </is>
      </c>
      <c r="E65" s="5" t="inlineStr">
        <is>
          <t>Yes</t>
        </is>
      </c>
      <c r="F65" s="10" t="n">
        <v>46085</v>
      </c>
      <c r="G65" s="5" t="inlineStr">
        <is>
          <t>Tom Bradley</t>
        </is>
      </c>
      <c r="H65" s="5" t="inlineStr">
        <is>
          <t>Birth certificate</t>
        </is>
      </c>
    </row>
    <row r="66">
      <c r="A66" s="2" t="inlineStr">
        <is>
          <t>RC-1015</t>
        </is>
      </c>
      <c r="B66" s="2" t="inlineStr">
        <is>
          <t>William Thompson</t>
        </is>
      </c>
      <c r="C66" s="2" t="inlineStr">
        <is>
          <t>Social Security Card</t>
        </is>
      </c>
      <c r="D66" s="2" t="inlineStr">
        <is>
          <t>Yes</t>
        </is>
      </c>
      <c r="E66" s="2" t="inlineStr">
        <is>
          <t>Yes</t>
        </is>
      </c>
      <c r="F66" s="8" t="n">
        <v>46085</v>
      </c>
      <c r="G66" s="2" t="inlineStr">
        <is>
          <t>Tom Bradley</t>
        </is>
      </c>
      <c r="H66" s="2" t="n"/>
    </row>
    <row r="67">
      <c r="A67" s="5" t="inlineStr">
        <is>
          <t>RC-1015</t>
        </is>
      </c>
      <c r="B67" s="5" t="inlineStr">
        <is>
          <t>William Thompson</t>
        </is>
      </c>
      <c r="C67" s="5" t="inlineStr">
        <is>
          <t>Driver's License</t>
        </is>
      </c>
      <c r="D67" s="5" t="inlineStr">
        <is>
          <t>Yes</t>
        </is>
      </c>
      <c r="E67" s="5" t="inlineStr">
        <is>
          <t>Yes</t>
        </is>
      </c>
      <c r="F67" s="10" t="n">
        <v>46085</v>
      </c>
      <c r="G67" s="5" t="inlineStr">
        <is>
          <t>Tom Bradley</t>
        </is>
      </c>
      <c r="H67" s="5" t="n"/>
    </row>
    <row r="68">
      <c r="A68" s="2" t="inlineStr">
        <is>
          <t>RC-1015</t>
        </is>
      </c>
      <c r="B68" s="2" t="inlineStr">
        <is>
          <t>William Thompson</t>
        </is>
      </c>
      <c r="C68" s="2" t="inlineStr">
        <is>
          <t>Employment History (10 years)</t>
        </is>
      </c>
      <c r="D68" s="2" t="inlineStr">
        <is>
          <t>Yes</t>
        </is>
      </c>
      <c r="E68" s="2" t="inlineStr">
        <is>
          <t>Yes</t>
        </is>
      </c>
      <c r="F68" s="8" t="n">
        <v>46086</v>
      </c>
      <c r="G68" s="2" t="inlineStr">
        <is>
          <t>Tom Bradley</t>
        </is>
      </c>
      <c r="H68" s="2" t="inlineStr">
        <is>
          <t>Employment gap documented</t>
        </is>
      </c>
    </row>
    <row r="69">
      <c r="A69" s="5" t="inlineStr">
        <is>
          <t>RC-1015</t>
        </is>
      </c>
      <c r="B69" s="5" t="inlineStr">
        <is>
          <t>William Thompson</t>
        </is>
      </c>
      <c r="C69" s="5" t="inlineStr">
        <is>
          <t>Education Transcripts</t>
        </is>
      </c>
      <c r="D69" s="5" t="inlineStr">
        <is>
          <t>Yes</t>
        </is>
      </c>
      <c r="E69" s="5" t="inlineStr">
        <is>
          <t>Yes</t>
        </is>
      </c>
      <c r="F69" s="10" t="n">
        <v>46086</v>
      </c>
      <c r="G69" s="5" t="inlineStr">
        <is>
          <t>Tom Bradley</t>
        </is>
      </c>
      <c r="H69" s="5" t="inlineStr">
        <is>
          <t>AS Cybersecurity</t>
        </is>
      </c>
    </row>
    <row r="70">
      <c r="A70" s="2" t="inlineStr">
        <is>
          <t>RC-1015</t>
        </is>
      </c>
      <c r="B70" s="2" t="inlineStr">
        <is>
          <t>William Thompson</t>
        </is>
      </c>
      <c r="C70" s="2" t="inlineStr">
        <is>
          <t>Residence History (10 years)</t>
        </is>
      </c>
      <c r="D70" s="2" t="inlineStr">
        <is>
          <t>Yes</t>
        </is>
      </c>
      <c r="E70" s="2" t="inlineStr">
        <is>
          <t>Yes</t>
        </is>
      </c>
      <c r="F70" s="8" t="n">
        <v>46086</v>
      </c>
      <c r="G70" s="2" t="inlineStr">
        <is>
          <t>Tom Bradley</t>
        </is>
      </c>
      <c r="H70" s="2" t="n"/>
    </row>
    <row r="71">
      <c r="A71" s="5" t="inlineStr">
        <is>
          <t>RC-1015</t>
        </is>
      </c>
      <c r="B71" s="5" t="inlineStr">
        <is>
          <t>William Thompson</t>
        </is>
      </c>
      <c r="C71" s="5" t="inlineStr">
        <is>
          <t>Reference Contact List (min 3)</t>
        </is>
      </c>
      <c r="D71" s="5" t="inlineStr">
        <is>
          <t>Yes</t>
        </is>
      </c>
      <c r="E71" s="5" t="inlineStr">
        <is>
          <t>Yes</t>
        </is>
      </c>
      <c r="F71" s="10" t="n">
        <v>46086</v>
      </c>
      <c r="G71" s="5" t="inlineStr">
        <is>
          <t>Tom Bradley</t>
        </is>
      </c>
      <c r="H71" s="5" t="inlineStr">
        <is>
          <t>3 references</t>
        </is>
      </c>
    </row>
    <row r="72">
      <c r="A72" s="2" t="inlineStr">
        <is>
          <t>RC-1015</t>
        </is>
      </c>
      <c r="B72" s="2" t="inlineStr">
        <is>
          <t>William Thompson</t>
        </is>
      </c>
      <c r="C72" s="2" t="inlineStr">
        <is>
          <t>Financial Disclosure</t>
        </is>
      </c>
      <c r="D72" s="2" t="inlineStr">
        <is>
          <t>Yes</t>
        </is>
      </c>
      <c r="E72" s="2" t="inlineStr">
        <is>
          <t>Yes</t>
        </is>
      </c>
      <c r="F72" s="8" t="n">
        <v>46087</v>
      </c>
      <c r="G72" s="2" t="inlineStr">
        <is>
          <t>Tom Bradley</t>
        </is>
      </c>
      <c r="H72" s="2" t="n"/>
    </row>
    <row r="73">
      <c r="A73" s="5" t="inlineStr">
        <is>
          <t>RC-1015</t>
        </is>
      </c>
      <c r="B73" s="5" t="inlineStr">
        <is>
          <t>William Thompson</t>
        </is>
      </c>
      <c r="C73" s="5" t="inlineStr">
        <is>
          <t>Foreign Travel Records</t>
        </is>
      </c>
      <c r="D73" s="5" t="inlineStr">
        <is>
          <t>Yes</t>
        </is>
      </c>
      <c r="E73" s="5" t="inlineStr">
        <is>
          <t>Yes</t>
        </is>
      </c>
      <c r="F73" s="10" t="n">
        <v>46087</v>
      </c>
      <c r="G73" s="5" t="inlineStr">
        <is>
          <t>Tom Bradley</t>
        </is>
      </c>
      <c r="H73" s="5" t="inlineStr">
        <is>
          <t>No foreign travel</t>
        </is>
      </c>
    </row>
    <row r="74">
      <c r="A74" s="2" t="inlineStr">
        <is>
          <t>RC-1015</t>
        </is>
      </c>
      <c r="B74" s="2" t="inlineStr">
        <is>
          <t>William Thompson</t>
        </is>
      </c>
      <c r="C74" s="2" t="inlineStr">
        <is>
          <t>Military Records (if applicable)</t>
        </is>
      </c>
      <c r="D74" s="2" t="inlineStr">
        <is>
          <t>No</t>
        </is>
      </c>
      <c r="E74" s="2" t="inlineStr">
        <is>
          <t>No</t>
        </is>
      </c>
      <c r="F74" s="8" t="n"/>
      <c r="G74" s="2" t="n"/>
      <c r="H74" s="2" t="inlineStr">
        <is>
          <t>Not applicable</t>
        </is>
      </c>
    </row>
    <row r="75">
      <c r="A75" s="5" t="inlineStr">
        <is>
          <t>RC-1015</t>
        </is>
      </c>
      <c r="B75" s="5" t="inlineStr">
        <is>
          <t>William Thompson</t>
        </is>
      </c>
      <c r="C75" s="5" t="inlineStr">
        <is>
          <t>Court Records (if applicable)</t>
        </is>
      </c>
      <c r="D75" s="5" t="inlineStr">
        <is>
          <t>No</t>
        </is>
      </c>
      <c r="E75" s="5" t="inlineStr">
        <is>
          <t>No</t>
        </is>
      </c>
      <c r="F75" s="10" t="n"/>
      <c r="G75" s="5" t="n"/>
      <c r="H75" s="5" t="inlineStr">
        <is>
          <t>Not applicable</t>
        </is>
      </c>
    </row>
    <row r="76">
      <c r="A76" s="2" t="inlineStr">
        <is>
          <t>RC-1015</t>
        </is>
      </c>
      <c r="B76" s="2" t="inlineStr">
        <is>
          <t>William Thompson</t>
        </is>
      </c>
      <c r="C76" s="2" t="inlineStr">
        <is>
          <t>Credit Report Authorization</t>
        </is>
      </c>
      <c r="D76" s="2" t="inlineStr">
        <is>
          <t>Yes</t>
        </is>
      </c>
      <c r="E76" s="2" t="inlineStr">
        <is>
          <t>Yes</t>
        </is>
      </c>
      <c r="F76" s="8" t="n">
        <v>46085</v>
      </c>
      <c r="G76" s="2" t="inlineStr">
        <is>
          <t>Tom Bradley</t>
        </is>
      </c>
      <c r="H76" s="2" t="inlineStr">
        <is>
          <t>Signed</t>
        </is>
      </c>
    </row>
  </sheetData>
  <dataValidations count="2">
    <dataValidation sqref="D2:D126" showDropDown="0" showInputMessage="0" showErrorMessage="0" allowBlank="1" type="list">
      <formula1>"Yes,No"</formula1>
    </dataValidation>
    <dataValidation sqref="E2:E12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40" customWidth="1" min="3" max="3"/>
    <col width="16" customWidth="1" min="4" max="4"/>
    <col width="13" customWidth="1" min="5" max="5"/>
    <col width="13" customWidth="1" min="6" max="6"/>
    <col width="13" customWidth="1" min="7" max="7"/>
    <col width="10" customWidth="1" min="8" max="8"/>
    <col width="14" customWidth="1" min="9" max="9"/>
    <col width="35" customWidth="1" min="10" max="10"/>
  </cols>
  <sheetData>
    <row r="1">
      <c r="A1" s="1" t="inlineStr">
        <is>
          <t>Phase</t>
        </is>
      </c>
      <c r="B1" s="1" t="inlineStr">
        <is>
          <t>Task #</t>
        </is>
      </c>
      <c r="C1" s="1" t="inlineStr">
        <is>
          <t>Task Description</t>
        </is>
      </c>
      <c r="D1" s="1" t="inlineStr">
        <is>
          <t>Owner</t>
        </is>
      </c>
      <c r="E1" s="1" t="inlineStr">
        <is>
          <t>Target Date</t>
        </is>
      </c>
      <c r="F1" s="1" t="inlineStr">
        <is>
          <t>Actual 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Notes</t>
        </is>
      </c>
    </row>
    <row r="2">
      <c r="A2" s="2" t="inlineStr">
        <is>
          <t>Phase 1 - Pre-Surge Prep</t>
        </is>
      </c>
      <c r="B2" s="2" t="inlineStr">
        <is>
          <t>1.1</t>
        </is>
      </c>
      <c r="C2" s="2" t="inlineStr">
        <is>
          <t>Confirm labor category requirements</t>
        </is>
      </c>
      <c r="D2" s="2" t="inlineStr">
        <is>
          <t>Kelly</t>
        </is>
      </c>
      <c r="E2" s="8" t="n">
        <v>46054</v>
      </c>
      <c r="F2" s="8" t="n">
        <v>46054</v>
      </c>
      <c r="G2" s="55" t="inlineStr">
        <is>
          <t>Complete</t>
        </is>
      </c>
      <c r="H2" s="57" t="inlineStr">
        <is>
          <t>High</t>
        </is>
      </c>
      <c r="I2" s="2" t="inlineStr"/>
      <c r="J2" s="2" t="inlineStr">
        <is>
          <t>All 8 labor categories confirmed</t>
        </is>
      </c>
    </row>
    <row r="3">
      <c r="A3" s="5" t="inlineStr">
        <is>
          <t>Phase 1 - Pre-Surge Prep</t>
        </is>
      </c>
      <c r="B3" s="5" t="inlineStr">
        <is>
          <t>1.2</t>
        </is>
      </c>
      <c r="C3" s="5" t="inlineStr">
        <is>
          <t>Validate position descriptions</t>
        </is>
      </c>
      <c r="D3" s="5" t="inlineStr">
        <is>
          <t>Kelly</t>
        </is>
      </c>
      <c r="E3" s="10" t="n">
        <v>46058</v>
      </c>
      <c r="F3" s="10" t="n">
        <v>46057</v>
      </c>
      <c r="G3" s="55" t="inlineStr">
        <is>
          <t>Complete</t>
        </is>
      </c>
      <c r="H3" s="57" t="inlineStr">
        <is>
          <t>High</t>
        </is>
      </c>
      <c r="I3" s="5" t="inlineStr">
        <is>
          <t>1.1</t>
        </is>
      </c>
      <c r="J3" s="5" t="inlineStr">
        <is>
          <t>PDs aligned with PWS</t>
        </is>
      </c>
    </row>
    <row r="4">
      <c r="A4" s="2" t="inlineStr">
        <is>
          <t>Phase 1 - Pre-Surge Prep</t>
        </is>
      </c>
      <c r="B4" s="2" t="inlineStr">
        <is>
          <t>1.3</t>
        </is>
      </c>
      <c r="C4" s="2" t="inlineStr">
        <is>
          <t>Set up recruiting accounts/postings</t>
        </is>
      </c>
      <c r="D4" s="2" t="inlineStr">
        <is>
          <t>Lisa Park</t>
        </is>
      </c>
      <c r="E4" s="8" t="n">
        <v>46063</v>
      </c>
      <c r="F4" s="8" t="n">
        <v>46063</v>
      </c>
      <c r="G4" s="55" t="inlineStr">
        <is>
          <t>Complete</t>
        </is>
      </c>
      <c r="H4" s="57" t="inlineStr">
        <is>
          <t>High</t>
        </is>
      </c>
      <c r="I4" s="2" t="inlineStr">
        <is>
          <t>1.2</t>
        </is>
      </c>
      <c r="J4" s="2" t="inlineStr">
        <is>
          <t>Indeed, ClearanceJobs, USAJOBS</t>
        </is>
      </c>
    </row>
    <row r="5">
      <c r="A5" s="5" t="inlineStr">
        <is>
          <t>Phase 1 - Pre-Surge Prep</t>
        </is>
      </c>
      <c r="B5" s="5" t="inlineStr">
        <is>
          <t>1.4</t>
        </is>
      </c>
      <c r="C5" s="5" t="inlineStr">
        <is>
          <t>Brief recruiting team</t>
        </is>
      </c>
      <c r="D5" s="5" t="inlineStr">
        <is>
          <t>Kelly</t>
        </is>
      </c>
      <c r="E5" s="10" t="n">
        <v>46065</v>
      </c>
      <c r="F5" s="10" t="n">
        <v>46065</v>
      </c>
      <c r="G5" s="55" t="inlineStr">
        <is>
          <t>Complete</t>
        </is>
      </c>
      <c r="H5" s="57" t="inlineStr">
        <is>
          <t>High</t>
        </is>
      </c>
      <c r="I5" s="5" t="inlineStr">
        <is>
          <t>1.2</t>
        </is>
      </c>
      <c r="J5" s="5" t="inlineStr">
        <is>
          <t>All recruiters briefed on surge requirements</t>
        </is>
      </c>
    </row>
    <row r="6">
      <c r="A6" s="2" t="inlineStr">
        <is>
          <t>Phase 1 - Pre-Surge Prep</t>
        </is>
      </c>
      <c r="B6" s="2" t="inlineStr">
        <is>
          <t>1.5</t>
        </is>
      </c>
      <c r="C6" s="2" t="inlineStr">
        <is>
          <t>Establish candidate evaluation criteria</t>
        </is>
      </c>
      <c r="D6" s="2" t="inlineStr">
        <is>
          <t>Sarah Mitchell</t>
        </is>
      </c>
      <c r="E6" s="8" t="n">
        <v>46067</v>
      </c>
      <c r="F6" s="8" t="n">
        <v>46067</v>
      </c>
      <c r="G6" s="55" t="inlineStr">
        <is>
          <t>Complete</t>
        </is>
      </c>
      <c r="H6" s="57" t="inlineStr">
        <is>
          <t>High</t>
        </is>
      </c>
      <c r="I6" s="2" t="inlineStr">
        <is>
          <t>1.1</t>
        </is>
      </c>
      <c r="J6" s="2" t="inlineStr">
        <is>
          <t>Scorecard template finalized</t>
        </is>
      </c>
    </row>
    <row r="7">
      <c r="A7" s="5" t="inlineStr">
        <is>
          <t>Phase 1 - Pre-Surge Prep</t>
        </is>
      </c>
      <c r="B7" s="5" t="inlineStr">
        <is>
          <t>1.6</t>
        </is>
      </c>
      <c r="C7" s="5" t="inlineStr">
        <is>
          <t>Confirm clearance requirements by position</t>
        </is>
      </c>
      <c r="D7" s="5" t="inlineStr">
        <is>
          <t>Rachel Foster</t>
        </is>
      </c>
      <c r="E7" s="10" t="n">
        <v>46067</v>
      </c>
      <c r="F7" s="10" t="n">
        <v>46068</v>
      </c>
      <c r="G7" s="55" t="inlineStr">
        <is>
          <t>Complete</t>
        </is>
      </c>
      <c r="H7" s="57" t="inlineStr">
        <is>
          <t>High</t>
        </is>
      </c>
      <c r="I7" s="5" t="inlineStr">
        <is>
          <t>1.1</t>
        </is>
      </c>
      <c r="J7" s="5" t="inlineStr">
        <is>
          <t>PT/Secret/TS/TS-SCI mapped</t>
        </is>
      </c>
    </row>
    <row r="8">
      <c r="A8" s="2" t="inlineStr">
        <is>
          <t>Phase 1 - Pre-Surge Prep</t>
        </is>
      </c>
      <c r="B8" s="2" t="inlineStr">
        <is>
          <t>1.7</t>
        </is>
      </c>
      <c r="C8" s="2" t="inlineStr">
        <is>
          <t>Coordinate with FSO on clearance processing capacity</t>
        </is>
      </c>
      <c r="D8" s="2" t="inlineStr">
        <is>
          <t>Tom Bradley</t>
        </is>
      </c>
      <c r="E8" s="8" t="n">
        <v>46071</v>
      </c>
      <c r="F8" s="8" t="n">
        <v>46071</v>
      </c>
      <c r="G8" s="55" t="inlineStr">
        <is>
          <t>Complete</t>
        </is>
      </c>
      <c r="H8" s="21" t="inlineStr">
        <is>
          <t>Medium</t>
        </is>
      </c>
      <c r="I8" s="2" t="inlineStr">
        <is>
          <t>1.6</t>
        </is>
      </c>
      <c r="J8" s="2" t="inlineStr">
        <is>
          <t>FSO can handle 10 concurrent submissions</t>
        </is>
      </c>
    </row>
    <row r="9">
      <c r="A9" s="5" t="inlineStr">
        <is>
          <t>Phase 2 - Active Recruiting</t>
        </is>
      </c>
      <c r="B9" s="5" t="inlineStr">
        <is>
          <t>2.1</t>
        </is>
      </c>
      <c r="C9" s="5" t="inlineStr">
        <is>
          <t>Post positions to job boards</t>
        </is>
      </c>
      <c r="D9" s="5" t="inlineStr">
        <is>
          <t>Lisa Park</t>
        </is>
      </c>
      <c r="E9" s="10" t="n">
        <v>46073</v>
      </c>
      <c r="F9" s="10" t="n">
        <v>46073</v>
      </c>
      <c r="G9" s="55" t="inlineStr">
        <is>
          <t>Complete</t>
        </is>
      </c>
      <c r="H9" s="57" t="inlineStr">
        <is>
          <t>High</t>
        </is>
      </c>
      <c r="I9" s="5" t="inlineStr">
        <is>
          <t>1.3</t>
        </is>
      </c>
      <c r="J9" s="5" t="inlineStr">
        <is>
          <t>12 positions posted</t>
        </is>
      </c>
    </row>
    <row r="10">
      <c r="A10" s="2" t="inlineStr">
        <is>
          <t>Phase 2 - Active Recruiting</t>
        </is>
      </c>
      <c r="B10" s="2" t="inlineStr">
        <is>
          <t>2.2</t>
        </is>
      </c>
      <c r="C10" s="2" t="inlineStr">
        <is>
          <t>Activate agency partnerships</t>
        </is>
      </c>
      <c r="D10" s="2" t="inlineStr">
        <is>
          <t>David Chen</t>
        </is>
      </c>
      <c r="E10" s="8" t="n">
        <v>46075</v>
      </c>
      <c r="F10" s="8" t="n">
        <v>46075</v>
      </c>
      <c r="G10" s="55" t="inlineStr">
        <is>
          <t>Complete</t>
        </is>
      </c>
      <c r="H10" s="57" t="inlineStr">
        <is>
          <t>High</t>
        </is>
      </c>
      <c r="I10" s="2" t="inlineStr"/>
      <c r="J10" s="2" t="inlineStr">
        <is>
          <t>3 agencies engaged</t>
        </is>
      </c>
    </row>
    <row r="11">
      <c r="A11" s="5" t="inlineStr">
        <is>
          <t>Phase 2 - Active Recruiting</t>
        </is>
      </c>
      <c r="B11" s="5" t="inlineStr">
        <is>
          <t>2.3</t>
        </is>
      </c>
      <c r="C11" s="5" t="inlineStr">
        <is>
          <t>Begin candidate sourcing</t>
        </is>
      </c>
      <c r="D11" s="5" t="inlineStr">
        <is>
          <t>Sarah Mitchell</t>
        </is>
      </c>
      <c r="E11" s="10" t="n">
        <v>46078</v>
      </c>
      <c r="F11" s="10" t="n">
        <v>46078</v>
      </c>
      <c r="G11" s="55" t="inlineStr">
        <is>
          <t>Complete</t>
        </is>
      </c>
      <c r="H11" s="57" t="inlineStr">
        <is>
          <t>High</t>
        </is>
      </c>
      <c r="I11" s="5" t="inlineStr">
        <is>
          <t>2.1, 2.2</t>
        </is>
      </c>
      <c r="J11" s="5" t="inlineStr">
        <is>
          <t>Active sourcing across all channels</t>
        </is>
      </c>
    </row>
    <row r="12">
      <c r="A12" s="2" t="inlineStr">
        <is>
          <t>Phase 2 - Active Recruiting</t>
        </is>
      </c>
      <c r="B12" s="2" t="inlineStr">
        <is>
          <t>2.4</t>
        </is>
      </c>
      <c r="C12" s="2" t="inlineStr">
        <is>
          <t>Screen resumes against requirements</t>
        </is>
      </c>
      <c r="D12" s="2" t="inlineStr">
        <is>
          <t>Lisa Park</t>
        </is>
      </c>
      <c r="E12" s="8" t="n">
        <v>46082</v>
      </c>
      <c r="F12" s="8" t="n">
        <v>46082</v>
      </c>
      <c r="G12" s="58" t="inlineStr">
        <is>
          <t>In Progress</t>
        </is>
      </c>
      <c r="H12" s="57" t="inlineStr">
        <is>
          <t>High</t>
        </is>
      </c>
      <c r="I12" s="2" t="inlineStr">
        <is>
          <t>2.3</t>
        </is>
      </c>
      <c r="J12" s="2" t="inlineStr">
        <is>
          <t>Ongoing as candidates apply</t>
        </is>
      </c>
    </row>
    <row r="13">
      <c r="A13" s="5" t="inlineStr">
        <is>
          <t>Phase 2 - Active Recruiting</t>
        </is>
      </c>
      <c r="B13" s="5" t="inlineStr">
        <is>
          <t>2.5</t>
        </is>
      </c>
      <c r="C13" s="5" t="inlineStr">
        <is>
          <t>Schedule phone screens</t>
        </is>
      </c>
      <c r="D13" s="5" t="inlineStr">
        <is>
          <t>Sarah Mitchell</t>
        </is>
      </c>
      <c r="E13" s="10" t="n">
        <v>46086</v>
      </c>
      <c r="F13" s="10" t="n">
        <v>46086</v>
      </c>
      <c r="G13" s="58" t="inlineStr">
        <is>
          <t>In Progress</t>
        </is>
      </c>
      <c r="H13" s="57" t="inlineStr">
        <is>
          <t>High</t>
        </is>
      </c>
      <c r="I13" s="5" t="inlineStr">
        <is>
          <t>2.4</t>
        </is>
      </c>
      <c r="J13" s="5" t="inlineStr">
        <is>
          <t>Rolling schedule</t>
        </is>
      </c>
    </row>
    <row r="14">
      <c r="A14" s="2" t="inlineStr">
        <is>
          <t>Phase 2 - Active Recruiting</t>
        </is>
      </c>
      <c r="B14" s="2" t="inlineStr">
        <is>
          <t>2.6</t>
        </is>
      </c>
      <c r="C14" s="2" t="inlineStr">
        <is>
          <t>Conduct interviews</t>
        </is>
      </c>
      <c r="D14" s="2" t="inlineStr">
        <is>
          <t>Mark Reynolds</t>
        </is>
      </c>
      <c r="E14" s="8" t="n">
        <v>46091</v>
      </c>
      <c r="F14" s="8" t="n">
        <v>46091</v>
      </c>
      <c r="G14" s="58" t="inlineStr">
        <is>
          <t>In Progress</t>
        </is>
      </c>
      <c r="H14" s="57" t="inlineStr">
        <is>
          <t>High</t>
        </is>
      </c>
      <c r="I14" s="2" t="inlineStr">
        <is>
          <t>2.5</t>
        </is>
      </c>
      <c r="J14" s="2" t="inlineStr">
        <is>
          <t>Technical and panel interviews ongoing</t>
        </is>
      </c>
    </row>
    <row r="15">
      <c r="A15" s="5" t="inlineStr">
        <is>
          <t>Phase 2 - Active Recruiting</t>
        </is>
      </c>
      <c r="B15" s="5" t="inlineStr">
        <is>
          <t>2.7</t>
        </is>
      </c>
      <c r="C15" s="5" t="inlineStr">
        <is>
          <t>Score candidates on Interview Scorecard</t>
        </is>
      </c>
      <c r="D15" s="5" t="inlineStr">
        <is>
          <t>Mark Reynolds</t>
        </is>
      </c>
      <c r="E15" s="10" t="n">
        <v>46091</v>
      </c>
      <c r="F15" s="10" t="n">
        <v>46093</v>
      </c>
      <c r="G15" s="58" t="inlineStr">
        <is>
          <t>In Progress</t>
        </is>
      </c>
      <c r="H15" s="57" t="inlineStr">
        <is>
          <t>High</t>
        </is>
      </c>
      <c r="I15" s="5" t="inlineStr">
        <is>
          <t>2.6</t>
        </is>
      </c>
      <c r="J15" s="5" t="inlineStr">
        <is>
          <t>10 scored to date</t>
        </is>
      </c>
    </row>
    <row r="16">
      <c r="A16" s="2" t="inlineStr">
        <is>
          <t>Phase 2 - Active Recruiting</t>
        </is>
      </c>
      <c r="B16" s="2" t="inlineStr">
        <is>
          <t>2.8</t>
        </is>
      </c>
      <c r="C16" s="2" t="inlineStr">
        <is>
          <t>Check references</t>
        </is>
      </c>
      <c r="D16" s="2" t="inlineStr">
        <is>
          <t>David Chen</t>
        </is>
      </c>
      <c r="E16" s="8" t="n">
        <v>46096</v>
      </c>
      <c r="F16" s="8" t="n">
        <v>46096</v>
      </c>
      <c r="G16" s="58" t="inlineStr">
        <is>
          <t>In Progress</t>
        </is>
      </c>
      <c r="H16" s="21" t="inlineStr">
        <is>
          <t>Medium</t>
        </is>
      </c>
      <c r="I16" s="2" t="inlineStr">
        <is>
          <t>2.6</t>
        </is>
      </c>
      <c r="J16" s="2" t="inlineStr">
        <is>
          <t>Completed for top candidates</t>
        </is>
      </c>
    </row>
    <row r="17">
      <c r="A17" s="5" t="inlineStr">
        <is>
          <t>Phase 3 - Selection &amp; Offers</t>
        </is>
      </c>
      <c r="B17" s="5" t="inlineStr">
        <is>
          <t>3.1</t>
        </is>
      </c>
      <c r="C17" s="5" t="inlineStr">
        <is>
          <t>Rank candidates by score</t>
        </is>
      </c>
      <c r="D17" s="5" t="inlineStr">
        <is>
          <t>Kelly</t>
        </is>
      </c>
      <c r="E17" s="10" t="n">
        <v>46101</v>
      </c>
      <c r="F17" s="10" t="n">
        <v>46101</v>
      </c>
      <c r="G17" s="58" t="inlineStr">
        <is>
          <t>In Progress</t>
        </is>
      </c>
      <c r="H17" s="57" t="inlineStr">
        <is>
          <t>High</t>
        </is>
      </c>
      <c r="I17" s="5" t="inlineStr">
        <is>
          <t>2.7</t>
        </is>
      </c>
      <c r="J17" s="5" t="inlineStr">
        <is>
          <t>Updated weekly</t>
        </is>
      </c>
    </row>
    <row r="18">
      <c r="A18" s="2" t="inlineStr">
        <is>
          <t>Phase 3 - Selection &amp; Offers</t>
        </is>
      </c>
      <c r="B18" s="2" t="inlineStr">
        <is>
          <t>3.2</t>
        </is>
      </c>
      <c r="C18" s="2" t="inlineStr">
        <is>
          <t>Select top candidates</t>
        </is>
      </c>
      <c r="D18" s="2" t="inlineStr">
        <is>
          <t>Kelly</t>
        </is>
      </c>
      <c r="E18" s="8" t="n">
        <v>46103</v>
      </c>
      <c r="F18" s="8" t="n">
        <v>46103</v>
      </c>
      <c r="G18" s="58" t="inlineStr">
        <is>
          <t>In Progress</t>
        </is>
      </c>
      <c r="H18" s="57" t="inlineStr">
        <is>
          <t>High</t>
        </is>
      </c>
      <c r="I18" s="2" t="inlineStr">
        <is>
          <t>3.1</t>
        </is>
      </c>
      <c r="J18" s="2" t="inlineStr">
        <is>
          <t>Selection committee review</t>
        </is>
      </c>
    </row>
    <row r="19">
      <c r="A19" s="5" t="inlineStr">
        <is>
          <t>Phase 3 - Selection &amp; Offers</t>
        </is>
      </c>
      <c r="B19" s="5" t="inlineStr">
        <is>
          <t>3.3</t>
        </is>
      </c>
      <c r="C19" s="5" t="inlineStr">
        <is>
          <t>Generate offer letters</t>
        </is>
      </c>
      <c r="D19" s="5" t="inlineStr">
        <is>
          <t>Lisa Park</t>
        </is>
      </c>
      <c r="E19" s="10" t="n">
        <v>46106</v>
      </c>
      <c r="F19" s="10" t="n">
        <v>46106</v>
      </c>
      <c r="G19" s="58" t="inlineStr">
        <is>
          <t>In Progress</t>
        </is>
      </c>
      <c r="H19" s="57" t="inlineStr">
        <is>
          <t>High</t>
        </is>
      </c>
      <c r="I19" s="5" t="inlineStr">
        <is>
          <t>3.2</t>
        </is>
      </c>
      <c r="J19" s="5" t="inlineStr">
        <is>
          <t>Template approved by contracts</t>
        </is>
      </c>
    </row>
    <row r="20">
      <c r="A20" s="2" t="inlineStr">
        <is>
          <t>Phase 3 - Selection &amp; Offers</t>
        </is>
      </c>
      <c r="B20" s="2" t="inlineStr">
        <is>
          <t>3.4</t>
        </is>
      </c>
      <c r="C20" s="2" t="inlineStr">
        <is>
          <t>Extend offers</t>
        </is>
      </c>
      <c r="D20" s="2" t="inlineStr">
        <is>
          <t>Kelly</t>
        </is>
      </c>
      <c r="E20" s="8" t="n">
        <v>46109</v>
      </c>
      <c r="F20" s="8" t="n">
        <v>46109</v>
      </c>
      <c r="G20" s="58" t="inlineStr">
        <is>
          <t>In Progress</t>
        </is>
      </c>
      <c r="H20" s="57" t="inlineStr">
        <is>
          <t>High</t>
        </is>
      </c>
      <c r="I20" s="2" t="inlineStr">
        <is>
          <t>3.3</t>
        </is>
      </c>
      <c r="J20" s="2" t="inlineStr">
        <is>
          <t>6 offers extended to date</t>
        </is>
      </c>
    </row>
    <row r="21">
      <c r="A21" s="5" t="inlineStr">
        <is>
          <t>Phase 3 - Selection &amp; Offers</t>
        </is>
      </c>
      <c r="B21" s="5" t="inlineStr">
        <is>
          <t>3.5</t>
        </is>
      </c>
      <c r="C21" s="5" t="inlineStr">
        <is>
          <t>Track offer acceptances</t>
        </is>
      </c>
      <c r="D21" s="5" t="inlineStr">
        <is>
          <t>Sarah Mitchell</t>
        </is>
      </c>
      <c r="E21" s="10" t="n">
        <v>46113</v>
      </c>
      <c r="F21" s="10" t="n"/>
      <c r="G21" s="58" t="inlineStr">
        <is>
          <t>In Progress</t>
        </is>
      </c>
      <c r="H21" s="57" t="inlineStr">
        <is>
          <t>High</t>
        </is>
      </c>
      <c r="I21" s="5" t="inlineStr">
        <is>
          <t>3.4</t>
        </is>
      </c>
      <c r="J21" s="5" t="inlineStr">
        <is>
          <t>4 accepted, 1 pending, 1 declined</t>
        </is>
      </c>
    </row>
    <row r="22">
      <c r="A22" s="2" t="inlineStr">
        <is>
          <t>Phase 3 - Selection &amp; Offers</t>
        </is>
      </c>
      <c r="B22" s="2" t="inlineStr">
        <is>
          <t>3.6</t>
        </is>
      </c>
      <c r="C22" s="2" t="inlineStr">
        <is>
          <t>Initiate e-QIP for accepted candidates</t>
        </is>
      </c>
      <c r="D22" s="2" t="inlineStr">
        <is>
          <t>Rachel Foster</t>
        </is>
      </c>
      <c r="E22" s="8" t="n">
        <v>46117</v>
      </c>
      <c r="F22" s="8" t="n"/>
      <c r="G22" s="58" t="inlineStr">
        <is>
          <t>In Progress</t>
        </is>
      </c>
      <c r="H22" s="57" t="inlineStr">
        <is>
          <t>High</t>
        </is>
      </c>
      <c r="I22" s="2" t="inlineStr">
        <is>
          <t>3.5</t>
        </is>
      </c>
      <c r="J22" s="2" t="inlineStr">
        <is>
          <t>Coordinating with FSO</t>
        </is>
      </c>
    </row>
    <row r="23">
      <c r="A23" s="5" t="inlineStr">
        <is>
          <t>Phase 3 - Selection &amp; Offers</t>
        </is>
      </c>
      <c r="B23" s="5" t="inlineStr">
        <is>
          <t>3.7</t>
        </is>
      </c>
      <c r="C23" s="5" t="inlineStr">
        <is>
          <t>Brief candidates on clearance process</t>
        </is>
      </c>
      <c r="D23" s="5" t="inlineStr">
        <is>
          <t>Tom Bradley</t>
        </is>
      </c>
      <c r="E23" s="10" t="n">
        <v>46119</v>
      </c>
      <c r="F23" s="10" t="n"/>
      <c r="G23" s="58" t="inlineStr">
        <is>
          <t>In Progress</t>
        </is>
      </c>
      <c r="H23" s="21" t="inlineStr">
        <is>
          <t>Medium</t>
        </is>
      </c>
      <c r="I23" s="5" t="inlineStr">
        <is>
          <t>3.6</t>
        </is>
      </c>
      <c r="J23" s="5" t="inlineStr">
        <is>
          <t>Standard briefing packet sent</t>
        </is>
      </c>
    </row>
    <row r="24">
      <c r="A24" s="2" t="inlineStr">
        <is>
          <t>Phase 4 - Clearance Processing</t>
        </is>
      </c>
      <c r="B24" s="2" t="inlineStr">
        <is>
          <t>4.1</t>
        </is>
      </c>
      <c r="C24" s="2" t="inlineStr">
        <is>
          <t>Create e-QIP accounts</t>
        </is>
      </c>
      <c r="D24" s="2" t="inlineStr">
        <is>
          <t>Rachel Foster</t>
        </is>
      </c>
      <c r="E24" s="8" t="n">
        <v>46122</v>
      </c>
      <c r="F24" s="8" t="n">
        <v>46122</v>
      </c>
      <c r="G24" s="58" t="inlineStr">
        <is>
          <t>In Progress</t>
        </is>
      </c>
      <c r="H24" s="57" t="inlineStr">
        <is>
          <t>High</t>
        </is>
      </c>
      <c r="I24" s="2" t="inlineStr">
        <is>
          <t>3.6</t>
        </is>
      </c>
      <c r="J24" s="2" t="inlineStr">
        <is>
          <t>5 accounts created</t>
        </is>
      </c>
    </row>
    <row r="25">
      <c r="A25" s="5" t="inlineStr">
        <is>
          <t>Phase 4 - Clearance Processing</t>
        </is>
      </c>
      <c r="B25" s="5" t="inlineStr">
        <is>
          <t>4.2</t>
        </is>
      </c>
      <c r="C25" s="5" t="inlineStr">
        <is>
          <t>Send e-QIP release emails</t>
        </is>
      </c>
      <c r="D25" s="5" t="inlineStr">
        <is>
          <t>Rachel Foster</t>
        </is>
      </c>
      <c r="E25" s="10" t="n">
        <v>46122</v>
      </c>
      <c r="F25" s="10" t="n">
        <v>46122</v>
      </c>
      <c r="G25" s="58" t="inlineStr">
        <is>
          <t>In Progress</t>
        </is>
      </c>
      <c r="H25" s="57" t="inlineStr">
        <is>
          <t>High</t>
        </is>
      </c>
      <c r="I25" s="5" t="inlineStr">
        <is>
          <t>4.1</t>
        </is>
      </c>
      <c r="J25" s="5" t="inlineStr">
        <is>
          <t>Releases sent to all active candidates</t>
        </is>
      </c>
    </row>
    <row r="26">
      <c r="A26" s="2" t="inlineStr">
        <is>
          <t>Phase 4 - Clearance Processing</t>
        </is>
      </c>
      <c r="B26" s="2" t="inlineStr">
        <is>
          <t>4.3</t>
        </is>
      </c>
      <c r="C26" s="2" t="inlineStr">
        <is>
          <t>Monitor candidate e-QIP progress</t>
        </is>
      </c>
      <c r="D26" s="2" t="inlineStr">
        <is>
          <t>Tom Bradley</t>
        </is>
      </c>
      <c r="E26" s="8" t="n">
        <v>46127</v>
      </c>
      <c r="F26" s="8" t="n"/>
      <c r="G26" s="58" t="inlineStr">
        <is>
          <t>In Progress</t>
        </is>
      </c>
      <c r="H26" s="57" t="inlineStr">
        <is>
          <t>High</t>
        </is>
      </c>
      <c r="I26" s="2" t="inlineStr">
        <is>
          <t>4.2</t>
        </is>
      </c>
      <c r="J26" s="2" t="inlineStr">
        <is>
          <t>Daily check-ins with candidates</t>
        </is>
      </c>
    </row>
    <row r="27">
      <c r="A27" s="5" t="inlineStr">
        <is>
          <t>Phase 4 - Clearance Processing</t>
        </is>
      </c>
      <c r="B27" s="5" t="inlineStr">
        <is>
          <t>4.4</t>
        </is>
      </c>
      <c r="C27" s="5" t="inlineStr">
        <is>
          <t>FSO review submissions</t>
        </is>
      </c>
      <c r="D27" s="5" t="inlineStr">
        <is>
          <t>Tom Bradley</t>
        </is>
      </c>
      <c r="E27" s="10" t="n">
        <v>46132</v>
      </c>
      <c r="F27" s="10" t="n"/>
      <c r="G27" s="58" t="inlineStr">
        <is>
          <t>In Progress</t>
        </is>
      </c>
      <c r="H27" s="57" t="inlineStr">
        <is>
          <t>High</t>
        </is>
      </c>
      <c r="I27" s="5" t="inlineStr">
        <is>
          <t>4.3</t>
        </is>
      </c>
      <c r="J27" s="5" t="inlineStr">
        <is>
          <t>2 reviewed, 3 pending</t>
        </is>
      </c>
    </row>
    <row r="28">
      <c r="A28" s="2" t="inlineStr">
        <is>
          <t>Phase 4 - Clearance Processing</t>
        </is>
      </c>
      <c r="B28" s="2" t="inlineStr">
        <is>
          <t>4.5</t>
        </is>
      </c>
      <c r="C28" s="2" t="inlineStr">
        <is>
          <t>Submit to DCSA</t>
        </is>
      </c>
      <c r="D28" s="2" t="inlineStr">
        <is>
          <t>Tom Bradley</t>
        </is>
      </c>
      <c r="E28" s="8" t="n">
        <v>46134</v>
      </c>
      <c r="F28" s="8" t="n"/>
      <c r="G28" s="59" t="inlineStr">
        <is>
          <t>Not Started</t>
        </is>
      </c>
      <c r="H28" s="57" t="inlineStr">
        <is>
          <t>High</t>
        </is>
      </c>
      <c r="I28" s="2" t="inlineStr">
        <is>
          <t>4.4</t>
        </is>
      </c>
      <c r="J28" s="2" t="inlineStr">
        <is>
          <t>Awaiting FSO reviews</t>
        </is>
      </c>
    </row>
    <row r="29">
      <c r="A29" s="5" t="inlineStr">
        <is>
          <t>Phase 4 - Clearance Processing</t>
        </is>
      </c>
      <c r="B29" s="5" t="inlineStr">
        <is>
          <t>4.6</t>
        </is>
      </c>
      <c r="C29" s="5" t="inlineStr">
        <is>
          <t>Track investigation status</t>
        </is>
      </c>
      <c r="D29" s="5" t="inlineStr">
        <is>
          <t>Rachel Foster</t>
        </is>
      </c>
      <c r="E29" s="10" t="n">
        <v>46137</v>
      </c>
      <c r="F29" s="10" t="n"/>
      <c r="G29" s="58" t="inlineStr">
        <is>
          <t>In Progress</t>
        </is>
      </c>
      <c r="H29" s="21" t="inlineStr">
        <is>
          <t>Medium</t>
        </is>
      </c>
      <c r="I29" s="5" t="inlineStr">
        <is>
          <t>4.5</t>
        </is>
      </c>
      <c r="J29" s="5" t="inlineStr">
        <is>
          <t>3 active investigations</t>
        </is>
      </c>
    </row>
    <row r="30">
      <c r="A30" s="2" t="inlineStr">
        <is>
          <t>Phase 4 - Clearance Processing</t>
        </is>
      </c>
      <c r="B30" s="2" t="inlineStr">
        <is>
          <t>4.7</t>
        </is>
      </c>
      <c r="C30" s="2" t="inlineStr">
        <is>
          <t>Process interim clearances</t>
        </is>
      </c>
      <c r="D30" s="2" t="inlineStr">
        <is>
          <t>Tom Bradley</t>
        </is>
      </c>
      <c r="E30" s="8" t="n">
        <v>46140</v>
      </c>
      <c r="F30" s="8" t="n"/>
      <c r="G30" s="58" t="inlineStr">
        <is>
          <t>In Progress</t>
        </is>
      </c>
      <c r="H30" s="57" t="inlineStr">
        <is>
          <t>High</t>
        </is>
      </c>
      <c r="I30" s="2" t="inlineStr">
        <is>
          <t>4.5</t>
        </is>
      </c>
      <c r="J30" s="2" t="inlineStr">
        <is>
          <t>2 interim clearances granted</t>
        </is>
      </c>
    </row>
    <row r="31">
      <c r="A31" s="5" t="inlineStr">
        <is>
          <t>Phase 4 - Clearance Processing</t>
        </is>
      </c>
      <c r="B31" s="5" t="inlineStr">
        <is>
          <t>4.8</t>
        </is>
      </c>
      <c r="C31" s="5" t="inlineStr">
        <is>
          <t>Follow up on stalled investigations</t>
        </is>
      </c>
      <c r="D31" s="5" t="inlineStr">
        <is>
          <t>Rachel Foster</t>
        </is>
      </c>
      <c r="E31" s="10" t="n">
        <v>46143</v>
      </c>
      <c r="F31" s="10" t="n"/>
      <c r="G31" s="5" t="inlineStr">
        <is>
          <t>Not Started</t>
        </is>
      </c>
      <c r="H31" s="5" t="inlineStr">
        <is>
          <t>Medium</t>
        </is>
      </c>
      <c r="I31" s="5" t="inlineStr">
        <is>
          <t>4.6</t>
        </is>
      </c>
      <c r="J31" s="5" t="inlineStr">
        <is>
          <t>No stalls yet identified</t>
        </is>
      </c>
    </row>
  </sheetData>
  <dataValidations count="2">
    <dataValidation sqref="G2:G100" showDropDown="0" showInputMessage="0" showErrorMessage="0" allowBlank="1" type="list">
      <formula1>"Not Started,In Progress,Complete,Blocked"</formula1>
    </dataValidation>
    <dataValidation sqref="H2:H1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55" customWidth="1" min="4" max="4"/>
    <col width="18" customWidth="1" min="5" max="5"/>
    <col width="16" customWidth="1" min="6" max="6"/>
    <col width="13" customWidth="1" min="7" max="7"/>
    <col width="12" customWidth="1" min="8" max="8"/>
    <col width="35" customWidth="1" min="9" max="9"/>
  </cols>
  <sheetData>
    <row r="1">
      <c r="A1" s="1" t="inlineStr">
        <is>
          <t>Alert Date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Description</t>
        </is>
      </c>
      <c r="E1" s="1" t="inlineStr">
        <is>
          <t>Related Candidate ID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  <c r="I1" s="1" t="inlineStr">
        <is>
          <t>Resolution Notes</t>
        </is>
      </c>
    </row>
    <row r="2">
      <c r="A2" s="16" t="n">
        <v>46132</v>
      </c>
      <c r="B2" s="17" t="inlineStr">
        <is>
          <t>Pipeline</t>
        </is>
      </c>
      <c r="C2" s="17" t="inlineStr">
        <is>
          <t>Critical</t>
        </is>
      </c>
      <c r="D2" s="17" t="inlineStr">
        <is>
          <t>Candidate stalled in Screened stage &gt;14 days - no interview scheduled</t>
        </is>
      </c>
      <c r="E2" s="17" t="inlineStr">
        <is>
          <t>RC-1006</t>
        </is>
      </c>
      <c r="F2" s="17" t="inlineStr">
        <is>
          <t>Lisa Park</t>
        </is>
      </c>
      <c r="G2" s="16" t="n">
        <v>46134</v>
      </c>
      <c r="H2" s="17" t="inlineStr">
        <is>
          <t>Open</t>
        </is>
      </c>
      <c r="I2" s="17" t="n"/>
    </row>
    <row r="3">
      <c r="A3" s="16" t="n">
        <v>46132</v>
      </c>
      <c r="B3" s="17" t="inlineStr">
        <is>
          <t>Clearance</t>
        </is>
      </c>
      <c r="C3" s="17" t="inlineStr">
        <is>
          <t>Critical</t>
        </is>
      </c>
      <c r="D3" s="17" t="inlineStr">
        <is>
          <t>e-QIP corrections overdue - candidate notified 3/1 but no update since 3/10</t>
        </is>
      </c>
      <c r="E3" s="17" t="inlineStr">
        <is>
          <t>RC-1015</t>
        </is>
      </c>
      <c r="F3" s="17" t="inlineStr">
        <is>
          <t>Tom Bradley</t>
        </is>
      </c>
      <c r="G3" s="16" t="n">
        <v>46133</v>
      </c>
      <c r="H3" s="17" t="inlineStr">
        <is>
          <t>Open</t>
        </is>
      </c>
      <c r="I3" s="17" t="n"/>
    </row>
    <row r="4">
      <c r="A4" s="18" t="n">
        <v>46132</v>
      </c>
      <c r="B4" s="19" t="inlineStr">
        <is>
          <t>Pipeline</t>
        </is>
      </c>
      <c r="C4" s="19" t="inlineStr">
        <is>
          <t>High</t>
        </is>
      </c>
      <c r="D4" s="19" t="inlineStr">
        <is>
          <t>Offer response pending &gt;8 days - follow up required</t>
        </is>
      </c>
      <c r="E4" s="19" t="inlineStr">
        <is>
          <t>RC-1004</t>
        </is>
      </c>
      <c r="F4" s="19" t="inlineStr">
        <is>
          <t>Kelly</t>
        </is>
      </c>
      <c r="G4" s="18" t="n">
        <v>46133</v>
      </c>
      <c r="H4" s="19" t="inlineStr">
        <is>
          <t>Open</t>
        </is>
      </c>
      <c r="I4" s="19" t="n"/>
    </row>
    <row r="5">
      <c r="A5" s="18" t="n">
        <v>46130</v>
      </c>
      <c r="B5" s="19" t="inlineStr">
        <is>
          <t>Interview</t>
        </is>
      </c>
      <c r="C5" s="19" t="inlineStr">
        <is>
          <t>High</t>
        </is>
      </c>
      <c r="D5" s="19" t="inlineStr">
        <is>
          <t>Interview not scheduled within 5 days of screening completion</t>
        </is>
      </c>
      <c r="E5" s="19" t="inlineStr">
        <is>
          <t>RC-1014</t>
        </is>
      </c>
      <c r="F5" s="19" t="inlineStr">
        <is>
          <t>Lisa Park</t>
        </is>
      </c>
      <c r="G5" s="18" t="n">
        <v>46132</v>
      </c>
      <c r="H5" s="19" t="inlineStr">
        <is>
          <t>In Progress</t>
        </is>
      </c>
      <c r="I5" s="19" t="inlineStr">
        <is>
          <t>Phone screen being scheduled for 4/22</t>
        </is>
      </c>
    </row>
    <row r="6">
      <c r="A6" s="18" t="n">
        <v>46130</v>
      </c>
      <c r="B6" s="19" t="inlineStr">
        <is>
          <t>Document</t>
        </is>
      </c>
      <c r="C6" s="19" t="inlineStr">
        <is>
          <t>High</t>
        </is>
      </c>
      <c r="D6" s="19" t="inlineStr">
        <is>
          <t>Missing required clearance documents - 3 items outstanding</t>
        </is>
      </c>
      <c r="E6" s="19" t="inlineStr">
        <is>
          <t>RC-1013</t>
        </is>
      </c>
      <c r="F6" s="19" t="inlineStr">
        <is>
          <t>Tom Bradley</t>
        </is>
      </c>
      <c r="G6" s="18" t="n">
        <v>46137</v>
      </c>
      <c r="H6" s="19" t="inlineStr">
        <is>
          <t>Open</t>
        </is>
      </c>
      <c r="I6" s="19" t="n"/>
    </row>
    <row r="7">
      <c r="A7" s="18" t="n">
        <v>46127</v>
      </c>
      <c r="B7" s="19" t="inlineStr">
        <is>
          <t>Clearance</t>
        </is>
      </c>
      <c r="C7" s="19" t="inlineStr">
        <is>
          <t>High</t>
        </is>
      </c>
      <c r="D7" s="19" t="inlineStr">
        <is>
          <t>Interim clearance request pending &gt;30 days with no decision</t>
        </is>
      </c>
      <c r="E7" s="19" t="inlineStr">
        <is>
          <t>RC-1015</t>
        </is>
      </c>
      <c r="F7" s="19" t="inlineStr">
        <is>
          <t>Tom Bradley</t>
        </is>
      </c>
      <c r="G7" s="18" t="n">
        <v>46134</v>
      </c>
      <c r="H7" s="19" t="inlineStr">
        <is>
          <t>Open</t>
        </is>
      </c>
      <c r="I7" s="19" t="n"/>
    </row>
    <row r="8">
      <c r="A8" s="20" t="n">
        <v>46127</v>
      </c>
      <c r="B8" s="21" t="inlineStr">
        <is>
          <t>Document</t>
        </is>
      </c>
      <c r="C8" s="21" t="inlineStr">
        <is>
          <t>Medium</t>
        </is>
      </c>
      <c r="D8" s="21" t="inlineStr">
        <is>
          <t>Education transcripts not received - requested 4/5</t>
        </is>
      </c>
      <c r="E8" s="21" t="inlineStr">
        <is>
          <t>RC-1001</t>
        </is>
      </c>
      <c r="F8" s="21" t="inlineStr">
        <is>
          <t>Rachel Foster</t>
        </is>
      </c>
      <c r="G8" s="20" t="n">
        <v>46137</v>
      </c>
      <c r="H8" s="21" t="inlineStr">
        <is>
          <t>Open</t>
        </is>
      </c>
      <c r="I8" s="21" t="n"/>
    </row>
    <row r="9">
      <c r="A9" s="20" t="n">
        <v>46126</v>
      </c>
      <c r="B9" s="21" t="inlineStr">
        <is>
          <t>Pipeline</t>
        </is>
      </c>
      <c r="C9" s="21" t="inlineStr">
        <is>
          <t>Medium</t>
        </is>
      </c>
      <c r="D9" s="21" t="inlineStr">
        <is>
          <t>Candidate scored but no offer action taken within 5 business days</t>
        </is>
      </c>
      <c r="E9" s="21" t="inlineStr">
        <is>
          <t>RC-1009</t>
        </is>
      </c>
      <c r="F9" s="21" t="inlineStr">
        <is>
          <t>Kelly</t>
        </is>
      </c>
      <c r="G9" s="20" t="n">
        <v>46133</v>
      </c>
      <c r="H9" s="21" t="inlineStr">
        <is>
          <t>Open</t>
        </is>
      </c>
      <c r="I9" s="21" t="n"/>
    </row>
    <row r="10">
      <c r="A10" s="20" t="n">
        <v>46122</v>
      </c>
      <c r="B10" s="21" t="inlineStr">
        <is>
          <t>Clearance</t>
        </is>
      </c>
      <c r="C10" s="21" t="inlineStr">
        <is>
          <t>Medium</t>
        </is>
      </c>
      <c r="D10" s="21" t="inlineStr">
        <is>
          <t>e-QIP started but not submitted by candidate within 7 days</t>
        </is>
      </c>
      <c r="E10" s="21" t="inlineStr">
        <is>
          <t>RC-1001</t>
        </is>
      </c>
      <c r="F10" s="21" t="inlineStr">
        <is>
          <t>Rachel Foster</t>
        </is>
      </c>
      <c r="G10" s="20" t="n">
        <v>46129</v>
      </c>
      <c r="H10" s="21" t="inlineStr">
        <is>
          <t>In Progress</t>
        </is>
      </c>
      <c r="I10" s="21" t="inlineStr">
        <is>
          <t>Candidate reports 80% complete</t>
        </is>
      </c>
    </row>
    <row r="11">
      <c r="A11" s="20" t="n">
        <v>46113</v>
      </c>
      <c r="B11" s="21" t="inlineStr">
        <is>
          <t>Checklist</t>
        </is>
      </c>
      <c r="C11" s="21" t="inlineStr">
        <is>
          <t>Medium</t>
        </is>
      </c>
      <c r="D11" s="21" t="inlineStr">
        <is>
          <t>Phase 4 clearance processing tasks behind schedule</t>
        </is>
      </c>
      <c r="E11" s="21" t="n"/>
      <c r="F11" s="21" t="inlineStr">
        <is>
          <t>Tom Bradley</t>
        </is>
      </c>
      <c r="G11" s="20" t="n">
        <v>46127</v>
      </c>
      <c r="H11" s="21" t="inlineStr">
        <is>
          <t>Resolved</t>
        </is>
      </c>
      <c r="I11" s="21" t="inlineStr">
        <is>
          <t>Caught up as of 4/15</t>
        </is>
      </c>
    </row>
  </sheetData>
  <dataValidations count="3">
    <dataValidation sqref="B2:B100" showDropDown="0" showInputMessage="0" showErrorMessage="0" allowBlank="1" type="list">
      <formula1>"Pipeline,Interview,Clearance,Document,Checklist"</formula1>
    </dataValidation>
    <dataValidation sqref="C2:C100" showDropDown="0" showInputMessage="0" showErrorMessage="0" allowBlank="1" type="list">
      <formula1>"Critical,High,Medium"</formula1>
    </dataValidation>
    <dataValidation sqref="H2:H100" showDropDown="0" showInputMessage="0" showErrorMessage="0" allowBlank="1" type="list">
      <formula1>"Open,In Progress,Resolved"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2026-04-20T22:23:07Z</dcterms:created>
  <dcterms:modified xmlns:dcterms="http://purl.org/dc/terms/" xmlns:xsi="http://www.w3.org/2001/XMLSchema-instance" xsi:type="dcterms:W3CDTF">2026-04-20T22:27:21Z</dcterms:modified>
</cp:coreProperties>
</file>
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Training Tracker" sheetId="2" state="visible" r:id="rId2"/>
    <sheet xmlns:r="http://schemas.openxmlformats.org/officeDocument/2006/relationships" name="Staffing Dashboard" sheetId="3" state="visible" r:id="rId3"/>
    <sheet xmlns:r="http://schemas.openxmlformats.org/officeDocument/2006/relationships" name="QA Scores" sheetId="4" state="visible" r:id="rId4"/>
    <sheet xmlns:r="http://schemas.openxmlformats.org/officeDocument/2006/relationships" name="Retention Tracker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RACI Matrix" sheetId="7" state="visible" r:id="rId7"/>
    <sheet xmlns:r="http://schemas.openxmlformats.org/officeDocument/2006/relationships" name="Operations Checklist" sheetId="8" state="visible" r:id="rId8"/>
    <sheet xmlns:r="http://schemas.openxmlformats.org/officeDocument/2006/relationships" name="Alerts &amp; Action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2">
    <font>
      <name val="Calibri"/>
      <family val="2"/>
      <color theme="1"/>
      <sz val="11"/>
      <scheme val="minor"/>
    </font>
    <font>
      <b val="1"/>
      <color rgb="001F3864"/>
    </font>
    <font>
      <b val="1"/>
    </font>
    <font>
      <color rgb="00006100"/>
    </font>
    <font>
      <color rgb="009C5700"/>
    </font>
    <font>
      <color rgb="00404040"/>
    </font>
    <font>
      <color rgb="001F3864"/>
    </font>
    <font>
      <b val="1"/>
      <sz val="12"/>
    </font>
    <font>
      <b val="1"/>
      <color rgb="00006100"/>
    </font>
    <font>
      <b val="1"/>
      <color rgb="009C5700"/>
    </font>
    <font>
      <b val="1"/>
      <color rgb="00404040"/>
    </font>
    <font>
      <i val="1"/>
    </font>
  </fonts>
  <fills count="11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9E6"/>
        <bgColor rgb="00FFF9E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/>
      <right/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0" fillId="3" borderId="2" pivotButton="0" quotePrefix="0" xfId="0"/>
    <xf numFmtId="164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164" fontId="0" fillId="5" borderId="2" pivotButton="0" quotePrefix="0" xfId="0"/>
    <xf numFmtId="164" fontId="0" fillId="3" borderId="2" pivotButton="0" quotePrefix="0" xfId="0"/>
    <xf numFmtId="164" fontId="0" fillId="0" borderId="2" pivotButton="0" quotePrefix="0" xfId="0"/>
    <xf numFmtId="164" fontId="0" fillId="4" borderId="2" pivotButton="0" quotePrefix="0" xfId="0"/>
    <xf numFmtId="164" fontId="0" fillId="5" borderId="2" pivotButton="0" quotePrefix="0" xfId="0"/>
    <xf numFmtId="0" fontId="0" fillId="6" borderId="2" pivotButton="0" quotePrefix="0" xfId="0"/>
    <xf numFmtId="164" fontId="0" fillId="6" borderId="2" pivotButton="0" quotePrefix="0" xfId="0"/>
    <xf numFmtId="0" fontId="0" fillId="7" borderId="2" pivotButton="0" quotePrefix="0" xfId="0"/>
    <xf numFmtId="164" fontId="0" fillId="7" borderId="2" pivotButton="0" quotePrefix="0" xfId="0"/>
    <xf numFmtId="0" fontId="0" fillId="8" borderId="2" pivotButton="0" quotePrefix="0" xfId="0"/>
    <xf numFmtId="164" fontId="0" fillId="8" borderId="2" pivotButton="0" quotePrefix="0" xfId="0"/>
    <xf numFmtId="9" fontId="0" fillId="3" borderId="2" pivotButton="0" quotePrefix="0" xfId="0"/>
    <xf numFmtId="9" fontId="0" fillId="0" borderId="0" pivotButton="0" quotePrefix="0" xfId="0"/>
    <xf numFmtId="9" fontId="0" fillId="0" borderId="2" pivotButton="0" quotePrefix="0" xfId="0"/>
    <xf numFmtId="0" fontId="2" fillId="2" borderId="2" pivotButton="0" quotePrefix="0" xfId="0"/>
    <xf numFmtId="9" fontId="2" fillId="2" borderId="2" pivotButton="0" quotePrefix="0" xfId="0"/>
    <xf numFmtId="0" fontId="0" fillId="9" borderId="2" pivotButton="0" quotePrefix="0" xfId="0"/>
    <xf numFmtId="164" fontId="0" fillId="9" borderId="2" pivotButton="0" quotePrefix="0" xfId="0"/>
    <xf numFmtId="0" fontId="1" fillId="2" borderId="4" applyAlignment="1" pivotButton="0" quotePrefix="0" xfId="0">
      <alignment horizontal="center" wrapText="1"/>
    </xf>
    <xf numFmtId="0" fontId="2" fillId="0" borderId="2" pivotButton="0" quotePrefix="0" xfId="0"/>
    <xf numFmtId="0" fontId="3" fillId="6" borderId="2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10" borderId="2" applyAlignment="1" pivotButton="0" quotePrefix="0" xfId="0">
      <alignment horizontal="center"/>
    </xf>
    <xf numFmtId="0" fontId="7" fillId="0" borderId="0" pivotButton="0" quotePrefix="0" xfId="0"/>
    <xf numFmtId="0" fontId="1" fillId="10" borderId="0" pivotButton="0" quotePrefix="0" xfId="0"/>
    <xf numFmtId="0" fontId="8" fillId="6" borderId="0" pivotButton="0" quotePrefix="0" xfId="0"/>
    <xf numFmtId="0" fontId="9" fillId="9" borderId="0" pivotButton="0" quotePrefix="0" xfId="0"/>
    <xf numFmtId="0" fontId="10" fillId="5" borderId="0" pivotButton="0" quotePrefix="0" xfId="0"/>
    <xf numFmtId="0" fontId="0" fillId="10" borderId="2" pivotButton="0" quotePrefix="0" xfId="0"/>
    <xf numFmtId="164" fontId="0" fillId="10" borderId="2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6" customWidth="1" min="12" max="12"/>
    <col width="14" customWidth="1" min="13" max="13"/>
    <col width="22" customWidth="1" min="14" max="14"/>
    <col width="16" customWidth="1" min="15" max="15"/>
    <col width="16" customWidth="1" min="16" max="16"/>
    <col width="20" customWidth="1" min="17" max="17"/>
    <col width="20" customWidth="1" min="18" max="18"/>
    <col width="16" customWidth="1" min="19" max="19"/>
    <col width="16" customWidth="1" min="20" max="20"/>
    <col width="16" customWidth="1" min="21" max="21"/>
    <col width="22" customWidth="1" min="22" max="22"/>
    <col width="28" customWidth="1" min="23" max="23"/>
    <col width="14" customWidth="1" min="24" max="24"/>
    <col width="22" customWidth="1" min="25" max="25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Personal Phone</t>
        </is>
      </c>
      <c r="F1" s="1" t="inlineStr">
        <is>
          <t>Position Title</t>
        </is>
      </c>
      <c r="G1" s="1" t="inlineStr">
        <is>
          <t>Labor Category</t>
        </is>
      </c>
      <c r="H1" s="1" t="inlineStr">
        <is>
          <t>Clearance Level</t>
        </is>
      </c>
      <c r="I1" s="1" t="inlineStr">
        <is>
          <t>Clearance Status</t>
        </is>
      </c>
      <c r="J1" s="1" t="inlineStr">
        <is>
          <t>Supervisor</t>
        </is>
      </c>
      <c r="K1" s="1" t="inlineStr">
        <is>
          <t>Start Date</t>
        </is>
      </c>
      <c r="L1" s="1" t="inlineStr">
        <is>
          <t>Employee Status</t>
        </is>
      </c>
      <c r="M1" s="1" t="inlineStr">
        <is>
          <t>Separation Date</t>
        </is>
      </c>
      <c r="N1" s="1" t="inlineStr">
        <is>
          <t>Separation Reason</t>
        </is>
      </c>
      <c r="O1" s="1" t="inlineStr">
        <is>
          <t>Home State</t>
        </is>
      </c>
      <c r="P1" s="1" t="inlineStr">
        <is>
          <t>Remote Workspace Verified</t>
        </is>
      </c>
      <c r="Q1" s="1" t="inlineStr">
        <is>
          <t>Equipment Kit Shipped Date</t>
        </is>
      </c>
      <c r="R1" s="1" t="inlineStr">
        <is>
          <t>Equipment Kit Received Date</t>
        </is>
      </c>
      <c r="S1" s="1" t="inlineStr">
        <is>
          <t>Equipment Kit Verified</t>
        </is>
      </c>
      <c r="T1" s="1" t="inlineStr">
        <is>
          <t>VPN Access Provisioned</t>
        </is>
      </c>
      <c r="U1" s="1" t="inlineStr">
        <is>
          <t>System Access Granted</t>
        </is>
      </c>
      <c r="V1" s="1" t="inlineStr">
        <is>
          <t>Badges/Credentials Issued</t>
        </is>
      </c>
      <c r="W1" s="1" t="inlineStr">
        <is>
          <t>Emergency Contact Name</t>
        </is>
      </c>
      <c r="X1" s="1" t="inlineStr">
        <is>
          <t>Emergency Contact Phone</t>
        </is>
      </c>
      <c r="Y1" s="1" t="inlineStr">
        <is>
          <t>Notes</t>
        </is>
      </c>
    </row>
    <row r="2">
      <c r="A2" s="2" t="inlineStr">
        <is>
          <t>EMP-001</t>
        </is>
      </c>
      <c r="B2" s="2" t="inlineStr">
        <is>
          <t>Maria</t>
        </is>
      </c>
      <c r="C2" s="2" t="inlineStr">
        <is>
          <t>Santos</t>
        </is>
      </c>
      <c r="D2" s="2" t="inlineStr">
        <is>
          <t>maria.santos@govcontract.com</t>
        </is>
      </c>
      <c r="E2" s="2" t="inlineStr">
        <is>
          <t>(318) 555-0101</t>
        </is>
      </c>
      <c r="F2" s="2" t="inlineStr">
        <is>
          <t>Customer Service Rep</t>
        </is>
      </c>
      <c r="G2" s="2" t="inlineStr">
        <is>
          <t>SCA Non-Exempt</t>
        </is>
      </c>
      <c r="H2" s="2" t="inlineStr">
        <is>
          <t>Secret</t>
        </is>
      </c>
      <c r="I2" s="2" t="inlineStr">
        <is>
          <t>Final</t>
        </is>
      </c>
      <c r="J2" s="2" t="inlineStr">
        <is>
          <t>James Mitchell</t>
        </is>
      </c>
      <c r="K2" s="10" t="n">
        <v>46027</v>
      </c>
      <c r="L2" s="2" t="inlineStr">
        <is>
          <t>Active</t>
        </is>
      </c>
      <c r="M2" s="10" t="n"/>
      <c r="N2" s="2" t="n"/>
      <c r="O2" s="2" t="inlineStr">
        <is>
          <t>TX</t>
        </is>
      </c>
      <c r="P2" s="2" t="inlineStr">
        <is>
          <t>Yes</t>
        </is>
      </c>
      <c r="Q2" s="10" t="n">
        <v>46019</v>
      </c>
      <c r="R2" s="10" t="n">
        <v>46022</v>
      </c>
      <c r="S2" s="2" t="inlineStr">
        <is>
          <t>Yes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CAC Issued</t>
        </is>
      </c>
      <c r="W2" s="2" t="inlineStr">
        <is>
          <t>Carlos Santos</t>
        </is>
      </c>
      <c r="X2" s="2" t="inlineStr">
        <is>
          <t>(318) 555-0201</t>
        </is>
      </c>
      <c r="Y2" s="2" t="inlineStr">
        <is>
          <t>Bilingual English/Spanish</t>
        </is>
      </c>
    </row>
    <row r="3">
      <c r="A3" s="4" t="inlineStr">
        <is>
          <t>EMP-002</t>
        </is>
      </c>
      <c r="B3" s="4" t="inlineStr">
        <is>
          <t>David</t>
        </is>
      </c>
      <c r="C3" s="4" t="inlineStr">
        <is>
          <t>Thompson</t>
        </is>
      </c>
      <c r="D3" s="4" t="inlineStr">
        <is>
          <t>david.thompson@govcontract.com</t>
        </is>
      </c>
      <c r="E3" s="4" t="inlineStr">
        <is>
          <t>(504) 555-0102</t>
        </is>
      </c>
      <c r="F3" s="4" t="inlineStr">
        <is>
          <t>Claims Processor</t>
        </is>
      </c>
      <c r="G3" s="4" t="inlineStr">
        <is>
          <t>SCA Non-Exempt</t>
        </is>
      </c>
      <c r="H3" s="4" t="inlineStr">
        <is>
          <t>Secret</t>
        </is>
      </c>
      <c r="I3" s="4" t="inlineStr">
        <is>
          <t>Final</t>
        </is>
      </c>
      <c r="J3" s="4" t="inlineStr">
        <is>
          <t>James Mitchell</t>
        </is>
      </c>
      <c r="K3" s="11" t="n">
        <v>46027</v>
      </c>
      <c r="L3" s="4" t="inlineStr">
        <is>
          <t>Active</t>
        </is>
      </c>
      <c r="M3" s="11" t="n"/>
      <c r="N3" s="4" t="n"/>
      <c r="O3" s="4" t="inlineStr">
        <is>
          <t>LA</t>
        </is>
      </c>
      <c r="P3" s="4" t="inlineStr">
        <is>
          <t>Yes</t>
        </is>
      </c>
      <c r="Q3" s="11" t="n">
        <v>46019</v>
      </c>
      <c r="R3" s="11" t="n">
        <v>46021</v>
      </c>
      <c r="S3" s="4" t="inlineStr">
        <is>
          <t>Yes</t>
        </is>
      </c>
      <c r="T3" s="4" t="inlineStr">
        <is>
          <t>Yes</t>
        </is>
      </c>
      <c r="U3" s="4" t="inlineStr">
        <is>
          <t>Yes</t>
        </is>
      </c>
      <c r="V3" s="4" t="inlineStr">
        <is>
          <t>CAC Issued</t>
        </is>
      </c>
      <c r="W3" s="4" t="inlineStr">
        <is>
          <t>Sarah Thompson</t>
        </is>
      </c>
      <c r="X3" s="4" t="inlineStr">
        <is>
          <t>(504) 555-0202</t>
        </is>
      </c>
      <c r="Y3" s="4" t="inlineStr"/>
    </row>
    <row r="4">
      <c r="A4" s="2" t="inlineStr">
        <is>
          <t>EMP-003</t>
        </is>
      </c>
      <c r="B4" s="2" t="inlineStr">
        <is>
          <t>Jennifer</t>
        </is>
      </c>
      <c r="C4" s="2" t="inlineStr">
        <is>
          <t>Okafor</t>
        </is>
      </c>
      <c r="D4" s="2" t="inlineStr">
        <is>
          <t>jennifer.okafor@govcontract.com</t>
        </is>
      </c>
      <c r="E4" s="2" t="inlineStr">
        <is>
          <t>(713) 555-0103</t>
        </is>
      </c>
      <c r="F4" s="2" t="inlineStr">
        <is>
          <t>Quality Analyst</t>
        </is>
      </c>
      <c r="G4" s="2" t="inlineStr">
        <is>
          <t>CAS Exempt</t>
        </is>
      </c>
      <c r="H4" s="2" t="inlineStr">
        <is>
          <t>Top Secret</t>
        </is>
      </c>
      <c r="I4" s="2" t="inlineStr">
        <is>
          <t>Final</t>
        </is>
      </c>
      <c r="J4" s="2" t="inlineStr">
        <is>
          <t>Patricia Nguyen</t>
        </is>
      </c>
      <c r="K4" s="10" t="n">
        <v>46034</v>
      </c>
      <c r="L4" s="2" t="inlineStr">
        <is>
          <t>Active</t>
        </is>
      </c>
      <c r="M4" s="10" t="n"/>
      <c r="N4" s="2" t="n"/>
      <c r="O4" s="2" t="inlineStr">
        <is>
          <t>TX</t>
        </is>
      </c>
      <c r="P4" s="2" t="inlineStr">
        <is>
          <t>Yes</t>
        </is>
      </c>
      <c r="Q4" s="10" t="n">
        <v>46027</v>
      </c>
      <c r="R4" s="10" t="n">
        <v>46030</v>
      </c>
      <c r="S4" s="2" t="inlineStr">
        <is>
          <t>Yes</t>
        </is>
      </c>
      <c r="T4" s="2" t="inlineStr">
        <is>
          <t>Yes</t>
        </is>
      </c>
      <c r="U4" s="2" t="inlineStr">
        <is>
          <t>Yes</t>
        </is>
      </c>
      <c r="V4" s="2" t="inlineStr">
        <is>
          <t>CAC Issued</t>
        </is>
      </c>
      <c r="W4" s="2" t="inlineStr">
        <is>
          <t>Michael Okafor</t>
        </is>
      </c>
      <c r="X4" s="2" t="inlineStr">
        <is>
          <t>(713) 555-0203</t>
        </is>
      </c>
      <c r="Y4" s="2" t="inlineStr">
        <is>
          <t>QA certified</t>
        </is>
      </c>
    </row>
    <row r="5">
      <c r="A5" s="4" t="inlineStr">
        <is>
          <t>EMP-004</t>
        </is>
      </c>
      <c r="B5" s="4" t="inlineStr">
        <is>
          <t>Robert</t>
        </is>
      </c>
      <c r="C5" s="4" t="inlineStr">
        <is>
          <t>Kim</t>
        </is>
      </c>
      <c r="D5" s="4" t="inlineStr">
        <is>
          <t>robert.kim@govcontract.com</t>
        </is>
      </c>
      <c r="E5" s="4" t="inlineStr">
        <is>
          <t>(214) 555-0104</t>
        </is>
      </c>
      <c r="F5" s="4" t="inlineStr">
        <is>
          <t>Team Lead</t>
        </is>
      </c>
      <c r="G5" s="4" t="inlineStr">
        <is>
          <t>CAS Exempt</t>
        </is>
      </c>
      <c r="H5" s="4" t="inlineStr">
        <is>
          <t>Top Secret</t>
        </is>
      </c>
      <c r="I5" s="4" t="inlineStr">
        <is>
          <t>Final</t>
        </is>
      </c>
      <c r="J5" s="4" t="inlineStr">
        <is>
          <t>Patricia Nguyen</t>
        </is>
      </c>
      <c r="K5" s="11" t="n">
        <v>46034</v>
      </c>
      <c r="L5" s="4" t="inlineStr">
        <is>
          <t>Active</t>
        </is>
      </c>
      <c r="M5" s="11" t="n"/>
      <c r="N5" s="4" t="n"/>
      <c r="O5" s="4" t="inlineStr">
        <is>
          <t>TX</t>
        </is>
      </c>
      <c r="P5" s="4" t="inlineStr">
        <is>
          <t>Yes</t>
        </is>
      </c>
      <c r="Q5" s="11" t="n">
        <v>46027</v>
      </c>
      <c r="R5" s="11" t="n">
        <v>46031</v>
      </c>
      <c r="S5" s="4" t="inlineStr">
        <is>
          <t>Yes</t>
        </is>
      </c>
      <c r="T5" s="4" t="inlineStr">
        <is>
          <t>Yes</t>
        </is>
      </c>
      <c r="U5" s="4" t="inlineStr">
        <is>
          <t>Yes</t>
        </is>
      </c>
      <c r="V5" s="4" t="inlineStr">
        <is>
          <t>CAC Issued</t>
        </is>
      </c>
      <c r="W5" s="4" t="inlineStr">
        <is>
          <t>Linda Kim</t>
        </is>
      </c>
      <c r="X5" s="4" t="inlineStr">
        <is>
          <t>(214) 555-0204</t>
        </is>
      </c>
      <c r="Y5" s="4" t="inlineStr">
        <is>
          <t>Prior federal experience</t>
        </is>
      </c>
    </row>
    <row r="6">
      <c r="A6" s="2" t="inlineStr">
        <is>
          <t>EMP-005</t>
        </is>
      </c>
      <c r="B6" s="2" t="inlineStr">
        <is>
          <t>Ashley</t>
        </is>
      </c>
      <c r="C6" s="2" t="inlineStr">
        <is>
          <t>Williams</t>
        </is>
      </c>
      <c r="D6" s="2" t="inlineStr">
        <is>
          <t>ashley.williams@govcontract.com</t>
        </is>
      </c>
      <c r="E6" s="2" t="inlineStr">
        <is>
          <t>(225) 555-0105</t>
        </is>
      </c>
      <c r="F6" s="2" t="inlineStr">
        <is>
          <t>Customer Service Rep</t>
        </is>
      </c>
      <c r="G6" s="2" t="inlineStr">
        <is>
          <t>SCA Non-Exempt</t>
        </is>
      </c>
      <c r="H6" s="2" t="inlineStr">
        <is>
          <t>Secret</t>
        </is>
      </c>
      <c r="I6" s="2" t="inlineStr">
        <is>
          <t>Interim</t>
        </is>
      </c>
      <c r="J6" s="2" t="inlineStr">
        <is>
          <t>James Mitchell</t>
        </is>
      </c>
      <c r="K6" s="10" t="n">
        <v>46041</v>
      </c>
      <c r="L6" s="2" t="inlineStr">
        <is>
          <t>Active</t>
        </is>
      </c>
      <c r="M6" s="10" t="n"/>
      <c r="N6" s="2" t="n"/>
      <c r="O6" s="2" t="inlineStr">
        <is>
          <t>LA</t>
        </is>
      </c>
      <c r="P6" s="2" t="inlineStr">
        <is>
          <t>Yes</t>
        </is>
      </c>
      <c r="Q6" s="10" t="n">
        <v>46034</v>
      </c>
      <c r="R6" s="10" t="n">
        <v>46037</v>
      </c>
      <c r="S6" s="2" t="inlineStr">
        <is>
          <t>Yes</t>
        </is>
      </c>
      <c r="T6" s="2" t="inlineStr">
        <is>
          <t>Yes</t>
        </is>
      </c>
      <c r="U6" s="2" t="inlineStr">
        <is>
          <t>Yes</t>
        </is>
      </c>
      <c r="V6" s="2" t="inlineStr">
        <is>
          <t>PIV Issued</t>
        </is>
      </c>
      <c r="W6" s="2" t="inlineStr">
        <is>
          <t>Terrence Williams</t>
        </is>
      </c>
      <c r="X6" s="2" t="inlineStr">
        <is>
          <t>(225) 555-0205</t>
        </is>
      </c>
      <c r="Y6" s="2" t="inlineStr"/>
    </row>
    <row r="7">
      <c r="A7" s="4" t="inlineStr">
        <is>
          <t>EMP-006</t>
        </is>
      </c>
      <c r="B7" s="4" t="inlineStr">
        <is>
          <t>Michael</t>
        </is>
      </c>
      <c r="C7" s="4" t="inlineStr">
        <is>
          <t>Petrov</t>
        </is>
      </c>
      <c r="D7" s="4" t="inlineStr">
        <is>
          <t>michael.petrov@govcontract.com</t>
        </is>
      </c>
      <c r="E7" s="4" t="inlineStr">
        <is>
          <t>(817) 555-0106</t>
        </is>
      </c>
      <c r="F7" s="4" t="inlineStr">
        <is>
          <t>Claims Processor</t>
        </is>
      </c>
      <c r="G7" s="4" t="inlineStr">
        <is>
          <t>SCA Non-Exempt</t>
        </is>
      </c>
      <c r="H7" s="4" t="inlineStr">
        <is>
          <t>Secret</t>
        </is>
      </c>
      <c r="I7" s="4" t="inlineStr">
        <is>
          <t>Interim</t>
        </is>
      </c>
      <c r="J7" s="4" t="inlineStr">
        <is>
          <t>Robert Kim</t>
        </is>
      </c>
      <c r="K7" s="11" t="n">
        <v>46041</v>
      </c>
      <c r="L7" s="4" t="inlineStr">
        <is>
          <t>Active</t>
        </is>
      </c>
      <c r="M7" s="11" t="n"/>
      <c r="N7" s="4" t="n"/>
      <c r="O7" s="4" t="inlineStr">
        <is>
          <t>TX</t>
        </is>
      </c>
      <c r="P7" s="4" t="inlineStr">
        <is>
          <t>Yes</t>
        </is>
      </c>
      <c r="Q7" s="11" t="n">
        <v>46034</v>
      </c>
      <c r="R7" s="11" t="n">
        <v>46038</v>
      </c>
      <c r="S7" s="4" t="inlineStr">
        <is>
          <t>Yes</t>
        </is>
      </c>
      <c r="T7" s="4" t="inlineStr">
        <is>
          <t>Yes</t>
        </is>
      </c>
      <c r="U7" s="4" t="inlineStr">
        <is>
          <t>Yes</t>
        </is>
      </c>
      <c r="V7" s="4" t="inlineStr">
        <is>
          <t>PIV Issued</t>
        </is>
      </c>
      <c r="W7" s="4" t="inlineStr">
        <is>
          <t>Elena Petrov</t>
        </is>
      </c>
      <c r="X7" s="4" t="inlineStr">
        <is>
          <t>(817) 555-0206</t>
        </is>
      </c>
      <c r="Y7" s="4" t="inlineStr"/>
    </row>
    <row r="8">
      <c r="A8" s="2" t="inlineStr">
        <is>
          <t>EMP-007</t>
        </is>
      </c>
      <c r="B8" s="2" t="inlineStr">
        <is>
          <t>Tameka</t>
        </is>
      </c>
      <c r="C8" s="2" t="inlineStr">
        <is>
          <t>Johnson</t>
        </is>
      </c>
      <c r="D8" s="2" t="inlineStr">
        <is>
          <t>tameka.johnson@govcontract.com</t>
        </is>
      </c>
      <c r="E8" s="2" t="inlineStr">
        <is>
          <t>(318) 555-0107</t>
        </is>
      </c>
      <c r="F8" s="2" t="inlineStr">
        <is>
          <t>Customer Service Rep</t>
        </is>
      </c>
      <c r="G8" s="2" t="inlineStr">
        <is>
          <t>SCA Non-Exempt</t>
        </is>
      </c>
      <c r="H8" s="2" t="inlineStr">
        <is>
          <t>Secret</t>
        </is>
      </c>
      <c r="I8" s="2" t="inlineStr">
        <is>
          <t>Final</t>
        </is>
      </c>
      <c r="J8" s="2" t="inlineStr">
        <is>
          <t>James Mitchell</t>
        </is>
      </c>
      <c r="K8" s="10" t="n">
        <v>46055</v>
      </c>
      <c r="L8" s="2" t="inlineStr">
        <is>
          <t>Active</t>
        </is>
      </c>
      <c r="M8" s="10" t="n"/>
      <c r="N8" s="2" t="n"/>
      <c r="O8" s="2" t="inlineStr">
        <is>
          <t>LA</t>
        </is>
      </c>
      <c r="P8" s="2" t="inlineStr">
        <is>
          <t>Yes</t>
        </is>
      </c>
      <c r="Q8" s="10" t="n">
        <v>46048</v>
      </c>
      <c r="R8" s="10" t="n">
        <v>46051</v>
      </c>
      <c r="S8" s="2" t="inlineStr">
        <is>
          <t>Yes</t>
        </is>
      </c>
      <c r="T8" s="2" t="inlineStr">
        <is>
          <t>Yes</t>
        </is>
      </c>
      <c r="U8" s="2" t="inlineStr">
        <is>
          <t>Yes</t>
        </is>
      </c>
      <c r="V8" s="2" t="inlineStr">
        <is>
          <t>CAC Issued</t>
        </is>
      </c>
      <c r="W8" s="2" t="inlineStr">
        <is>
          <t>Derrick Johnson</t>
        </is>
      </c>
      <c r="X8" s="2" t="inlineStr">
        <is>
          <t>(318) 555-0207</t>
        </is>
      </c>
      <c r="Y8" s="2" t="inlineStr"/>
    </row>
    <row r="9">
      <c r="A9" s="4" t="inlineStr">
        <is>
          <t>EMP-008</t>
        </is>
      </c>
      <c r="B9" s="4" t="inlineStr">
        <is>
          <t>Christopher</t>
        </is>
      </c>
      <c r="C9" s="4" t="inlineStr">
        <is>
          <t>Hernandez</t>
        </is>
      </c>
      <c r="D9" s="4" t="inlineStr">
        <is>
          <t>chris.hernandez@govcontract.com</t>
        </is>
      </c>
      <c r="E9" s="4" t="inlineStr">
        <is>
          <t>(972) 555-0108</t>
        </is>
      </c>
      <c r="F9" s="4" t="inlineStr">
        <is>
          <t>IT Support Specialist</t>
        </is>
      </c>
      <c r="G9" s="4" t="inlineStr">
        <is>
          <t>CAS Exempt</t>
        </is>
      </c>
      <c r="H9" s="4" t="inlineStr">
        <is>
          <t>Top Secret</t>
        </is>
      </c>
      <c r="I9" s="4" t="inlineStr">
        <is>
          <t>Final</t>
        </is>
      </c>
      <c r="J9" s="4" t="inlineStr">
        <is>
          <t>Patricia Nguyen</t>
        </is>
      </c>
      <c r="K9" s="11" t="n">
        <v>46027</v>
      </c>
      <c r="L9" s="4" t="inlineStr">
        <is>
          <t>Active</t>
        </is>
      </c>
      <c r="M9" s="11" t="n"/>
      <c r="N9" s="4" t="n"/>
      <c r="O9" s="4" t="inlineStr">
        <is>
          <t>TX</t>
        </is>
      </c>
      <c r="P9" s="4" t="inlineStr">
        <is>
          <t>Yes</t>
        </is>
      </c>
      <c r="Q9" s="11" t="n">
        <v>46019</v>
      </c>
      <c r="R9" s="11" t="n">
        <v>46021</v>
      </c>
      <c r="S9" s="4" t="inlineStr">
        <is>
          <t>Yes</t>
        </is>
      </c>
      <c r="T9" s="4" t="inlineStr">
        <is>
          <t>Yes</t>
        </is>
      </c>
      <c r="U9" s="4" t="inlineStr">
        <is>
          <t>Yes</t>
        </is>
      </c>
      <c r="V9" s="4" t="inlineStr">
        <is>
          <t>CAC Issued</t>
        </is>
      </c>
      <c r="W9" s="4" t="inlineStr">
        <is>
          <t>Ana Hernandez</t>
        </is>
      </c>
      <c r="X9" s="4" t="inlineStr">
        <is>
          <t>(972) 555-0208</t>
        </is>
      </c>
      <c r="Y9" s="4" t="inlineStr">
        <is>
          <t>CISSP certified</t>
        </is>
      </c>
    </row>
    <row r="10">
      <c r="A10" s="6" t="inlineStr">
        <is>
          <t>EMP-009</t>
        </is>
      </c>
      <c r="B10" s="6" t="inlineStr">
        <is>
          <t>Brittany</t>
        </is>
      </c>
      <c r="C10" s="6" t="inlineStr">
        <is>
          <t>Davis</t>
        </is>
      </c>
      <c r="D10" s="6" t="inlineStr">
        <is>
          <t>brittany.davis@govcontract.com</t>
        </is>
      </c>
      <c r="E10" s="6" t="inlineStr">
        <is>
          <t>(501) 555-0109</t>
        </is>
      </c>
      <c r="F10" s="6" t="inlineStr">
        <is>
          <t>Customer Service Rep</t>
        </is>
      </c>
      <c r="G10" s="6" t="inlineStr">
        <is>
          <t>SCA Non-Exempt</t>
        </is>
      </c>
      <c r="H10" s="6" t="inlineStr">
        <is>
          <t>Secret</t>
        </is>
      </c>
      <c r="I10" s="6" t="inlineStr">
        <is>
          <t>Pending</t>
        </is>
      </c>
      <c r="J10" s="6" t="inlineStr">
        <is>
          <t>James Mitchell</t>
        </is>
      </c>
      <c r="K10" s="12" t="n">
        <v>46083</v>
      </c>
      <c r="L10" s="6" t="inlineStr">
        <is>
          <t>In Training</t>
        </is>
      </c>
      <c r="M10" s="12" t="n"/>
      <c r="N10" s="6" t="n"/>
      <c r="O10" s="6" t="inlineStr">
        <is>
          <t>AR</t>
        </is>
      </c>
      <c r="P10" s="6" t="inlineStr">
        <is>
          <t>Yes</t>
        </is>
      </c>
      <c r="Q10" s="12" t="n">
        <v>46076</v>
      </c>
      <c r="R10" s="12" t="n">
        <v>46079</v>
      </c>
      <c r="S10" s="6" t="inlineStr">
        <is>
          <t>Yes</t>
        </is>
      </c>
      <c r="T10" s="6" t="inlineStr">
        <is>
          <t>Yes</t>
        </is>
      </c>
      <c r="U10" s="6" t="inlineStr">
        <is>
          <t>No</t>
        </is>
      </c>
      <c r="V10" s="6" t="inlineStr">
        <is>
          <t>Pending</t>
        </is>
      </c>
      <c r="W10" s="6" t="inlineStr">
        <is>
          <t>Marcus Davis</t>
        </is>
      </c>
      <c r="X10" s="6" t="inlineStr">
        <is>
          <t>(501) 555-0209</t>
        </is>
      </c>
      <c r="Y10" s="6" t="inlineStr">
        <is>
          <t>Awaiting clearance adjudication</t>
        </is>
      </c>
    </row>
    <row r="11">
      <c r="A11" s="6" t="inlineStr">
        <is>
          <t>EMP-010</t>
        </is>
      </c>
      <c r="B11" s="6" t="inlineStr">
        <is>
          <t>James</t>
        </is>
      </c>
      <c r="C11" s="6" t="inlineStr">
        <is>
          <t>Patel</t>
        </is>
      </c>
      <c r="D11" s="6" t="inlineStr">
        <is>
          <t>james.patel@govcontract.com</t>
        </is>
      </c>
      <c r="E11" s="6" t="inlineStr">
        <is>
          <t>(469) 555-0110</t>
        </is>
      </c>
      <c r="F11" s="6" t="inlineStr">
        <is>
          <t>Claims Processor</t>
        </is>
      </c>
      <c r="G11" s="6" t="inlineStr">
        <is>
          <t>SCA Non-Exempt</t>
        </is>
      </c>
      <c r="H11" s="6" t="inlineStr">
        <is>
          <t>Secret</t>
        </is>
      </c>
      <c r="I11" s="6" t="inlineStr">
        <is>
          <t>Pending</t>
        </is>
      </c>
      <c r="J11" s="6" t="inlineStr">
        <is>
          <t>Robert Kim</t>
        </is>
      </c>
      <c r="K11" s="12" t="n">
        <v>46083</v>
      </c>
      <c r="L11" s="6" t="inlineStr">
        <is>
          <t>In Training</t>
        </is>
      </c>
      <c r="M11" s="12" t="n"/>
      <c r="N11" s="6" t="n"/>
      <c r="O11" s="6" t="inlineStr">
        <is>
          <t>TX</t>
        </is>
      </c>
      <c r="P11" s="6" t="inlineStr">
        <is>
          <t>No</t>
        </is>
      </c>
      <c r="Q11" s="12" t="n">
        <v>46076</v>
      </c>
      <c r="R11" s="12" t="n">
        <v>46080</v>
      </c>
      <c r="S11" s="6" t="inlineStr">
        <is>
          <t>Yes</t>
        </is>
      </c>
      <c r="T11" s="6" t="inlineStr">
        <is>
          <t>Yes</t>
        </is>
      </c>
      <c r="U11" s="6" t="inlineStr">
        <is>
          <t>No</t>
        </is>
      </c>
      <c r="V11" s="6" t="inlineStr">
        <is>
          <t>Pending</t>
        </is>
      </c>
      <c r="W11" s="6" t="inlineStr">
        <is>
          <t>Priya Patel</t>
        </is>
      </c>
      <c r="X11" s="6" t="inlineStr">
        <is>
          <t>(469) 555-0210</t>
        </is>
      </c>
      <c r="Y11" s="6" t="inlineStr">
        <is>
          <t>Remote workspace verification pending</t>
        </is>
      </c>
    </row>
    <row r="12">
      <c r="A12" s="6" t="inlineStr">
        <is>
          <t>EMP-011</t>
        </is>
      </c>
      <c r="B12" s="6" t="inlineStr">
        <is>
          <t>Stephanie</t>
        </is>
      </c>
      <c r="C12" s="6" t="inlineStr">
        <is>
          <t>Brooks</t>
        </is>
      </c>
      <c r="D12" s="6" t="inlineStr">
        <is>
          <t>stephanie.brooks@govcontract.com</t>
        </is>
      </c>
      <c r="E12" s="6" t="inlineStr">
        <is>
          <t>(281) 555-0111</t>
        </is>
      </c>
      <c r="F12" s="6" t="inlineStr">
        <is>
          <t>Customer Service Rep</t>
        </is>
      </c>
      <c r="G12" s="6" t="inlineStr">
        <is>
          <t>SCA Non-Exempt</t>
        </is>
      </c>
      <c r="H12" s="6" t="inlineStr">
        <is>
          <t>Secret</t>
        </is>
      </c>
      <c r="I12" s="6" t="inlineStr">
        <is>
          <t>Interim</t>
        </is>
      </c>
      <c r="J12" s="6" t="inlineStr">
        <is>
          <t>James Mitchell</t>
        </is>
      </c>
      <c r="K12" s="12" t="n">
        <v>46090</v>
      </c>
      <c r="L12" s="6" t="inlineStr">
        <is>
          <t>In Training</t>
        </is>
      </c>
      <c r="M12" s="12" t="n"/>
      <c r="N12" s="6" t="n"/>
      <c r="O12" s="6" t="inlineStr">
        <is>
          <t>TX</t>
        </is>
      </c>
      <c r="P12" s="6" t="inlineStr">
        <is>
          <t>Yes</t>
        </is>
      </c>
      <c r="Q12" s="12" t="n">
        <v>46083</v>
      </c>
      <c r="R12" s="12" t="n">
        <v>46086</v>
      </c>
      <c r="S12" s="6" t="inlineStr">
        <is>
          <t>Yes</t>
        </is>
      </c>
      <c r="T12" s="6" t="inlineStr">
        <is>
          <t>Yes</t>
        </is>
      </c>
      <c r="U12" s="6" t="inlineStr">
        <is>
          <t>Yes</t>
        </is>
      </c>
      <c r="V12" s="6" t="inlineStr">
        <is>
          <t>PIV Issued</t>
        </is>
      </c>
      <c r="W12" s="6" t="inlineStr">
        <is>
          <t>Kevin Brooks</t>
        </is>
      </c>
      <c r="X12" s="6" t="inlineStr">
        <is>
          <t>(281) 555-0211</t>
        </is>
      </c>
      <c r="Y12" s="6" t="inlineStr"/>
    </row>
    <row r="13">
      <c r="A13" s="6" t="inlineStr">
        <is>
          <t>EMP-012</t>
        </is>
      </c>
      <c r="B13" s="6" t="inlineStr">
        <is>
          <t>Andrew</t>
        </is>
      </c>
      <c r="C13" s="6" t="inlineStr">
        <is>
          <t>Nguyen</t>
        </is>
      </c>
      <c r="D13" s="6" t="inlineStr">
        <is>
          <t>andrew.nguyen@govcontract.com</t>
        </is>
      </c>
      <c r="E13" s="6" t="inlineStr">
        <is>
          <t>(337) 555-0112</t>
        </is>
      </c>
      <c r="F13" s="6" t="inlineStr">
        <is>
          <t>Claims Processor</t>
        </is>
      </c>
      <c r="G13" s="6" t="inlineStr">
        <is>
          <t>SCA Non-Exempt</t>
        </is>
      </c>
      <c r="H13" s="6" t="inlineStr">
        <is>
          <t>Secret</t>
        </is>
      </c>
      <c r="I13" s="6" t="inlineStr">
        <is>
          <t>Interim</t>
        </is>
      </c>
      <c r="J13" s="6" t="inlineStr">
        <is>
          <t>Robert Kim</t>
        </is>
      </c>
      <c r="K13" s="12" t="n">
        <v>46090</v>
      </c>
      <c r="L13" s="6" t="inlineStr">
        <is>
          <t>In Training</t>
        </is>
      </c>
      <c r="M13" s="12" t="n"/>
      <c r="N13" s="6" t="n"/>
      <c r="O13" s="6" t="inlineStr">
        <is>
          <t>LA</t>
        </is>
      </c>
      <c r="P13" s="6" t="inlineStr">
        <is>
          <t>Yes</t>
        </is>
      </c>
      <c r="Q13" s="12" t="n">
        <v>46083</v>
      </c>
      <c r="R13" s="12" t="n">
        <v>46087</v>
      </c>
      <c r="S13" s="6" t="inlineStr">
        <is>
          <t>Yes</t>
        </is>
      </c>
      <c r="T13" s="6" t="inlineStr">
        <is>
          <t>Yes</t>
        </is>
      </c>
      <c r="U13" s="6" t="inlineStr">
        <is>
          <t>Yes</t>
        </is>
      </c>
      <c r="V13" s="6" t="inlineStr">
        <is>
          <t>PIV Issued</t>
        </is>
      </c>
      <c r="W13" s="6" t="inlineStr">
        <is>
          <t>Thanh Nguyen</t>
        </is>
      </c>
      <c r="X13" s="6" t="inlineStr">
        <is>
          <t>(337) 555-0212</t>
        </is>
      </c>
      <c r="Y13" s="6" t="inlineStr"/>
    </row>
    <row r="14">
      <c r="A14" s="8" t="inlineStr">
        <is>
          <t>EMP-013</t>
        </is>
      </c>
      <c r="B14" s="8" t="inlineStr">
        <is>
          <t>Rachel</t>
        </is>
      </c>
      <c r="C14" s="8" t="inlineStr">
        <is>
          <t>Cooper</t>
        </is>
      </c>
      <c r="D14" s="8" t="inlineStr">
        <is>
          <t>rachel.cooper@govcontract.com</t>
        </is>
      </c>
      <c r="E14" s="8" t="inlineStr">
        <is>
          <t>(903) 555-0113</t>
        </is>
      </c>
      <c r="F14" s="8" t="inlineStr">
        <is>
          <t>Customer Service Rep</t>
        </is>
      </c>
      <c r="G14" s="8" t="inlineStr">
        <is>
          <t>SCA Non-Exempt</t>
        </is>
      </c>
      <c r="H14" s="8" t="inlineStr">
        <is>
          <t>Secret</t>
        </is>
      </c>
      <c r="I14" s="8" t="inlineStr">
        <is>
          <t>Final</t>
        </is>
      </c>
      <c r="J14" s="8" t="inlineStr">
        <is>
          <t>James Mitchell</t>
        </is>
      </c>
      <c r="K14" s="13" t="n">
        <v>46055</v>
      </c>
      <c r="L14" s="8" t="inlineStr">
        <is>
          <t>Separated</t>
        </is>
      </c>
      <c r="M14" s="13" t="n">
        <v>46096</v>
      </c>
      <c r="N14" s="8" t="inlineStr">
        <is>
          <t>Voluntary</t>
        </is>
      </c>
      <c r="O14" s="8" t="inlineStr">
        <is>
          <t>TX</t>
        </is>
      </c>
      <c r="P14" s="8" t="inlineStr">
        <is>
          <t>Yes</t>
        </is>
      </c>
      <c r="Q14" s="13" t="n">
        <v>46048</v>
      </c>
      <c r="R14" s="13" t="n">
        <v>46050</v>
      </c>
      <c r="S14" s="8" t="inlineStr">
        <is>
          <t>Yes</t>
        </is>
      </c>
      <c r="T14" s="8" t="inlineStr">
        <is>
          <t>Yes</t>
        </is>
      </c>
      <c r="U14" s="8" t="inlineStr">
        <is>
          <t>Yes</t>
        </is>
      </c>
      <c r="V14" s="8" t="inlineStr">
        <is>
          <t>CAC Returned</t>
        </is>
      </c>
      <c r="W14" s="8" t="inlineStr">
        <is>
          <t>Daniel Cooper</t>
        </is>
      </c>
      <c r="X14" s="8" t="inlineStr">
        <is>
          <t>(903) 555-0213</t>
        </is>
      </c>
      <c r="Y14" s="8" t="inlineStr">
        <is>
          <t>Resigned - personal reasons</t>
        </is>
      </c>
    </row>
    <row r="15">
      <c r="A15" s="8" t="inlineStr">
        <is>
          <t>EMP-014</t>
        </is>
      </c>
      <c r="B15" s="8" t="inlineStr">
        <is>
          <t>Kevin</t>
        </is>
      </c>
      <c r="C15" s="8" t="inlineStr">
        <is>
          <t>Washington</t>
        </is>
      </c>
      <c r="D15" s="8" t="inlineStr">
        <is>
          <t>kevin.washington@govcontract.com</t>
        </is>
      </c>
      <c r="E15" s="8" t="inlineStr">
        <is>
          <t>(318) 555-0114</t>
        </is>
      </c>
      <c r="F15" s="8" t="inlineStr">
        <is>
          <t>Customer Service Rep</t>
        </is>
      </c>
      <c r="G15" s="8" t="inlineStr">
        <is>
          <t>SCA Non-Exempt</t>
        </is>
      </c>
      <c r="H15" s="8" t="inlineStr">
        <is>
          <t>Secret</t>
        </is>
      </c>
      <c r="I15" s="8" t="inlineStr">
        <is>
          <t>Final</t>
        </is>
      </c>
      <c r="J15" s="8" t="inlineStr">
        <is>
          <t>James Mitchell</t>
        </is>
      </c>
      <c r="K15" s="13" t="n">
        <v>46041</v>
      </c>
      <c r="L15" s="8" t="inlineStr">
        <is>
          <t>Separated</t>
        </is>
      </c>
      <c r="M15" s="13" t="n">
        <v>46073</v>
      </c>
      <c r="N15" s="8" t="inlineStr">
        <is>
          <t>Involuntary</t>
        </is>
      </c>
      <c r="O15" s="8" t="inlineStr">
        <is>
          <t>LA</t>
        </is>
      </c>
      <c r="P15" s="8" t="inlineStr">
        <is>
          <t>Yes</t>
        </is>
      </c>
      <c r="Q15" s="13" t="n">
        <v>46034</v>
      </c>
      <c r="R15" s="13" t="n">
        <v>46036</v>
      </c>
      <c r="S15" s="8" t="inlineStr">
        <is>
          <t>Yes</t>
        </is>
      </c>
      <c r="T15" s="8" t="inlineStr">
        <is>
          <t>Yes</t>
        </is>
      </c>
      <c r="U15" s="8" t="inlineStr">
        <is>
          <t>Yes</t>
        </is>
      </c>
      <c r="V15" s="8" t="inlineStr">
        <is>
          <t>CAC Returned</t>
        </is>
      </c>
      <c r="W15" s="8" t="inlineStr">
        <is>
          <t>Lisa Washington</t>
        </is>
      </c>
      <c r="X15" s="8" t="inlineStr">
        <is>
          <t>(318) 555-0214</t>
        </is>
      </c>
      <c r="Y15" s="8" t="inlineStr">
        <is>
          <t>Terminated - performance</t>
        </is>
      </c>
    </row>
    <row r="16">
      <c r="A16" s="6" t="inlineStr">
        <is>
          <t>EMP-015</t>
        </is>
      </c>
      <c r="B16" s="6" t="inlineStr">
        <is>
          <t>Lauren</t>
        </is>
      </c>
      <c r="C16" s="6" t="inlineStr">
        <is>
          <t>Martinez</t>
        </is>
      </c>
      <c r="D16" s="6" t="inlineStr">
        <is>
          <t>lauren.martinez@govcontract.com</t>
        </is>
      </c>
      <c r="E16" s="6" t="inlineStr">
        <is>
          <t>(682) 555-0115</t>
        </is>
      </c>
      <c r="F16" s="6" t="inlineStr">
        <is>
          <t>Quality Analyst</t>
        </is>
      </c>
      <c r="G16" s="6" t="inlineStr">
        <is>
          <t>CAS Exempt</t>
        </is>
      </c>
      <c r="H16" s="6" t="inlineStr">
        <is>
          <t>Top Secret</t>
        </is>
      </c>
      <c r="I16" s="6" t="inlineStr">
        <is>
          <t>Pending</t>
        </is>
      </c>
      <c r="J16" s="6" t="inlineStr">
        <is>
          <t>Patricia Nguyen</t>
        </is>
      </c>
      <c r="K16" s="12" t="n">
        <v>46097</v>
      </c>
      <c r="L16" s="6" t="inlineStr">
        <is>
          <t>In Training</t>
        </is>
      </c>
      <c r="M16" s="12" t="n"/>
      <c r="N16" s="6" t="n"/>
      <c r="O16" s="6" t="inlineStr">
        <is>
          <t>TX</t>
        </is>
      </c>
      <c r="P16" s="6" t="inlineStr">
        <is>
          <t>Yes</t>
        </is>
      </c>
      <c r="Q16" s="12" t="n">
        <v>46090</v>
      </c>
      <c r="R16" s="12" t="n">
        <v>46093</v>
      </c>
      <c r="S16" s="6" t="inlineStr">
        <is>
          <t>Yes</t>
        </is>
      </c>
      <c r="T16" s="6" t="inlineStr">
        <is>
          <t>Yes</t>
        </is>
      </c>
      <c r="U16" s="6" t="inlineStr">
        <is>
          <t>No</t>
        </is>
      </c>
      <c r="V16" s="6" t="inlineStr">
        <is>
          <t>Pending</t>
        </is>
      </c>
      <c r="W16" s="6" t="inlineStr">
        <is>
          <t>Diego Martinez</t>
        </is>
      </c>
      <c r="X16" s="6" t="inlineStr">
        <is>
          <t>(682) 555-0215</t>
        </is>
      </c>
      <c r="Y16" s="6" t="inlineStr">
        <is>
          <t>TS clearance in process</t>
        </is>
      </c>
    </row>
    <row r="17">
      <c r="A17" s="4" t="inlineStr">
        <is>
          <t>EMP-016</t>
        </is>
      </c>
      <c r="B17" s="4" t="inlineStr">
        <is>
          <t>Timothy</t>
        </is>
      </c>
      <c r="C17" s="4" t="inlineStr">
        <is>
          <t>Foster</t>
        </is>
      </c>
      <c r="D17" s="4" t="inlineStr">
        <is>
          <t>timothy.foster@govcontract.com</t>
        </is>
      </c>
      <c r="E17" s="4" t="inlineStr">
        <is>
          <t>(870) 555-0116</t>
        </is>
      </c>
      <c r="F17" s="4" t="inlineStr">
        <is>
          <t>Customer Service Rep</t>
        </is>
      </c>
      <c r="G17" s="4" t="inlineStr">
        <is>
          <t>SCA Non-Exempt</t>
        </is>
      </c>
      <c r="H17" s="4" t="inlineStr">
        <is>
          <t>Secret</t>
        </is>
      </c>
      <c r="I17" s="4" t="inlineStr">
        <is>
          <t>Interim</t>
        </is>
      </c>
      <c r="J17" s="4" t="inlineStr">
        <is>
          <t>James Mitchell</t>
        </is>
      </c>
      <c r="K17" s="11" t="n">
        <v>46097</v>
      </c>
      <c r="L17" s="4" t="inlineStr">
        <is>
          <t>Active</t>
        </is>
      </c>
      <c r="M17" s="11" t="n"/>
      <c r="N17" s="4" t="n"/>
      <c r="O17" s="4" t="inlineStr">
        <is>
          <t>AR</t>
        </is>
      </c>
      <c r="P17" s="4" t="inlineStr">
        <is>
          <t>Yes</t>
        </is>
      </c>
      <c r="Q17" s="11" t="n">
        <v>46090</v>
      </c>
      <c r="R17" s="11" t="n">
        <v>46092</v>
      </c>
      <c r="S17" s="4" t="inlineStr">
        <is>
          <t>Yes</t>
        </is>
      </c>
      <c r="T17" s="4" t="inlineStr">
        <is>
          <t>Yes</t>
        </is>
      </c>
      <c r="U17" s="4" t="inlineStr">
        <is>
          <t>Yes</t>
        </is>
      </c>
      <c r="V17" s="4" t="inlineStr">
        <is>
          <t>PIV Issued</t>
        </is>
      </c>
      <c r="W17" s="4" t="inlineStr">
        <is>
          <t>Carol Foster</t>
        </is>
      </c>
      <c r="X17" s="4" t="inlineStr">
        <is>
          <t>(870) 555-0216</t>
        </is>
      </c>
      <c r="Y17" s="4" t="inlineStr"/>
    </row>
    <row r="18">
      <c r="A18" s="2" t="inlineStr">
        <is>
          <t>EMP-017</t>
        </is>
      </c>
      <c r="B18" s="2" t="inlineStr">
        <is>
          <t>Nicole</t>
        </is>
      </c>
      <c r="C18" s="2" t="inlineStr">
        <is>
          <t>Jackson</t>
        </is>
      </c>
      <c r="D18" s="2" t="inlineStr">
        <is>
          <t>nicole.jackson@govcontract.com</t>
        </is>
      </c>
      <c r="E18" s="2" t="inlineStr">
        <is>
          <t>(318) 555-0117</t>
        </is>
      </c>
      <c r="F18" s="2" t="inlineStr">
        <is>
          <t>Claims Processor</t>
        </is>
      </c>
      <c r="G18" s="2" t="inlineStr">
        <is>
          <t>SCA Non-Exempt</t>
        </is>
      </c>
      <c r="H18" s="2" t="inlineStr">
        <is>
          <t>Secret</t>
        </is>
      </c>
      <c r="I18" s="2" t="inlineStr">
        <is>
          <t>Final</t>
        </is>
      </c>
      <c r="J18" s="2" t="inlineStr">
        <is>
          <t>Robert Kim</t>
        </is>
      </c>
      <c r="K18" s="10" t="n">
        <v>46069</v>
      </c>
      <c r="L18" s="2" t="inlineStr">
        <is>
          <t>On Leave</t>
        </is>
      </c>
      <c r="M18" s="10" t="n"/>
      <c r="N18" s="2" t="n"/>
      <c r="O18" s="2" t="inlineStr">
        <is>
          <t>LA</t>
        </is>
      </c>
      <c r="P18" s="2" t="inlineStr">
        <is>
          <t>Yes</t>
        </is>
      </c>
      <c r="Q18" s="10" t="n">
        <v>46062</v>
      </c>
      <c r="R18" s="10" t="n">
        <v>46065</v>
      </c>
      <c r="S18" s="2" t="inlineStr">
        <is>
          <t>Yes</t>
        </is>
      </c>
      <c r="T18" s="2" t="inlineStr">
        <is>
          <t>Yes</t>
        </is>
      </c>
      <c r="U18" s="2" t="inlineStr">
        <is>
          <t>Yes</t>
        </is>
      </c>
      <c r="V18" s="2" t="inlineStr">
        <is>
          <t>CAC Issued</t>
        </is>
      </c>
      <c r="W18" s="2" t="inlineStr">
        <is>
          <t>Terrell Jackson</t>
        </is>
      </c>
      <c r="X18" s="2" t="inlineStr">
        <is>
          <t>(318) 555-0217</t>
        </is>
      </c>
      <c r="Y18" s="2" t="inlineStr">
        <is>
          <t>FMLA leave approved</t>
        </is>
      </c>
    </row>
    <row r="19">
      <c r="A19" s="4" t="inlineStr">
        <is>
          <t>EMP-018</t>
        </is>
      </c>
      <c r="B19" s="4" t="inlineStr">
        <is>
          <t>Brandon</t>
        </is>
      </c>
      <c r="C19" s="4" t="inlineStr">
        <is>
          <t>Lee</t>
        </is>
      </c>
      <c r="D19" s="4" t="inlineStr">
        <is>
          <t>brandon.lee@govcontract.com</t>
        </is>
      </c>
      <c r="E19" s="4" t="inlineStr">
        <is>
          <t>(214) 555-0118</t>
        </is>
      </c>
      <c r="F19" s="4" t="inlineStr">
        <is>
          <t>IT Support Specialist</t>
        </is>
      </c>
      <c r="G19" s="4" t="inlineStr">
        <is>
          <t>CAS Exempt</t>
        </is>
      </c>
      <c r="H19" s="4" t="inlineStr">
        <is>
          <t>Secret</t>
        </is>
      </c>
      <c r="I19" s="4" t="inlineStr">
        <is>
          <t>Interim</t>
        </is>
      </c>
      <c r="J19" s="4" t="inlineStr">
        <is>
          <t>Patricia Nguyen</t>
        </is>
      </c>
      <c r="K19" s="11" t="n">
        <v>46069</v>
      </c>
      <c r="L19" s="4" t="inlineStr">
        <is>
          <t>Active</t>
        </is>
      </c>
      <c r="M19" s="11" t="n"/>
      <c r="N19" s="4" t="n"/>
      <c r="O19" s="4" t="inlineStr">
        <is>
          <t>TX</t>
        </is>
      </c>
      <c r="P19" s="4" t="inlineStr">
        <is>
          <t>Yes</t>
        </is>
      </c>
      <c r="Q19" s="11" t="n">
        <v>46062</v>
      </c>
      <c r="R19" s="11" t="n">
        <v>46064</v>
      </c>
      <c r="S19" s="4" t="inlineStr">
        <is>
          <t>Yes</t>
        </is>
      </c>
      <c r="T19" s="4" t="inlineStr">
        <is>
          <t>Yes</t>
        </is>
      </c>
      <c r="U19" s="4" t="inlineStr">
        <is>
          <t>Yes</t>
        </is>
      </c>
      <c r="V19" s="4" t="inlineStr">
        <is>
          <t>PIV Issued</t>
        </is>
      </c>
      <c r="W19" s="4" t="inlineStr">
        <is>
          <t>Michelle Lee</t>
        </is>
      </c>
      <c r="X19" s="4" t="inlineStr">
        <is>
          <t>(214) 555-0218</t>
        </is>
      </c>
      <c r="Y19" s="4" t="inlineStr"/>
    </row>
    <row r="20">
      <c r="A20" s="6" t="inlineStr">
        <is>
          <t>EMP-019</t>
        </is>
      </c>
      <c r="B20" s="6" t="inlineStr">
        <is>
          <t>Amanda</t>
        </is>
      </c>
      <c r="C20" s="6" t="inlineStr">
        <is>
          <t>Taylor</t>
        </is>
      </c>
      <c r="D20" s="6" t="inlineStr">
        <is>
          <t>amanda.taylor@govcontract.com</t>
        </is>
      </c>
      <c r="E20" s="6" t="inlineStr">
        <is>
          <t>(225) 555-0119</t>
        </is>
      </c>
      <c r="F20" s="6" t="inlineStr">
        <is>
          <t>Customer Service Rep</t>
        </is>
      </c>
      <c r="G20" s="6" t="inlineStr">
        <is>
          <t>SCA Non-Exempt</t>
        </is>
      </c>
      <c r="H20" s="6" t="inlineStr">
        <is>
          <t>Secret</t>
        </is>
      </c>
      <c r="I20" s="6" t="inlineStr">
        <is>
          <t>Pending</t>
        </is>
      </c>
      <c r="J20" s="6" t="inlineStr">
        <is>
          <t>James Mitchell</t>
        </is>
      </c>
      <c r="K20" s="12" t="n">
        <v>46118</v>
      </c>
      <c r="L20" s="6" t="inlineStr">
        <is>
          <t>In Training</t>
        </is>
      </c>
      <c r="M20" s="12" t="n"/>
      <c r="N20" s="6" t="n"/>
      <c r="O20" s="6" t="inlineStr">
        <is>
          <t>LA</t>
        </is>
      </c>
      <c r="P20" s="6" t="inlineStr">
        <is>
          <t>No</t>
        </is>
      </c>
      <c r="Q20" s="12" t="n">
        <v>46111</v>
      </c>
      <c r="R20" s="12" t="n"/>
      <c r="S20" s="6" t="inlineStr">
        <is>
          <t>No</t>
        </is>
      </c>
      <c r="T20" s="6" t="inlineStr">
        <is>
          <t>No</t>
        </is>
      </c>
      <c r="U20" s="6" t="inlineStr">
        <is>
          <t>No</t>
        </is>
      </c>
      <c r="V20" s="6" t="inlineStr">
        <is>
          <t>Pending</t>
        </is>
      </c>
      <c r="W20" s="6" t="inlineStr">
        <is>
          <t>Brian Taylor</t>
        </is>
      </c>
      <c r="X20" s="6" t="inlineStr">
        <is>
          <t>(225) 555-0219</t>
        </is>
      </c>
      <c r="Y20" s="6" t="inlineStr">
        <is>
          <t>Equipment in transit</t>
        </is>
      </c>
    </row>
    <row r="21">
      <c r="A21" s="4" t="inlineStr">
        <is>
          <t>EMP-020</t>
        </is>
      </c>
      <c r="B21" s="4" t="inlineStr">
        <is>
          <t>Marcus</t>
        </is>
      </c>
      <c r="C21" s="4" t="inlineStr">
        <is>
          <t>Robinson</t>
        </is>
      </c>
      <c r="D21" s="4" t="inlineStr">
        <is>
          <t>marcus.robinson@govcontract.com</t>
        </is>
      </c>
      <c r="E21" s="4" t="inlineStr">
        <is>
          <t>(903) 555-0120</t>
        </is>
      </c>
      <c r="F21" s="4" t="inlineStr">
        <is>
          <t>Team Lead</t>
        </is>
      </c>
      <c r="G21" s="4" t="inlineStr">
        <is>
          <t>CAS Exempt</t>
        </is>
      </c>
      <c r="H21" s="4" t="inlineStr">
        <is>
          <t>Top Secret</t>
        </is>
      </c>
      <c r="I21" s="4" t="inlineStr">
        <is>
          <t>Final</t>
        </is>
      </c>
      <c r="J21" s="4" t="inlineStr">
        <is>
          <t>Patricia Nguyen</t>
        </is>
      </c>
      <c r="K21" s="11" t="n">
        <v>46027</v>
      </c>
      <c r="L21" s="4" t="inlineStr">
        <is>
          <t>Active</t>
        </is>
      </c>
      <c r="M21" s="11" t="n"/>
      <c r="N21" s="4" t="n"/>
      <c r="O21" s="4" t="inlineStr">
        <is>
          <t>TX</t>
        </is>
      </c>
      <c r="P21" s="4" t="inlineStr">
        <is>
          <t>Yes</t>
        </is>
      </c>
      <c r="Q21" s="11" t="n">
        <v>46019</v>
      </c>
      <c r="R21" s="11" t="n">
        <v>46021</v>
      </c>
      <c r="S21" s="4" t="inlineStr">
        <is>
          <t>Yes</t>
        </is>
      </c>
      <c r="T21" s="4" t="inlineStr">
        <is>
          <t>Yes</t>
        </is>
      </c>
      <c r="U21" s="4" t="inlineStr">
        <is>
          <t>Yes</t>
        </is>
      </c>
      <c r="V21" s="4" t="inlineStr">
        <is>
          <t>CAC Issued</t>
        </is>
      </c>
      <c r="W21" s="4" t="inlineStr">
        <is>
          <t>Vanessa Robinson</t>
        </is>
      </c>
      <c r="X21" s="4" t="inlineStr">
        <is>
          <t>(903) 555-0220</t>
        </is>
      </c>
      <c r="Y21" s="4" t="inlineStr">
        <is>
          <t>Second team lead hire</t>
        </is>
      </c>
    </row>
  </sheetData>
  <dataValidations count="6">
    <dataValidation sqref="I2:I100" showDropDown="0" showInputMessage="0" showErrorMessage="0" allowBlank="1" type="list">
      <formula1>"Interim,Final,Pending"</formula1>
    </dataValidation>
    <dataValidation sqref="L2:L100" showDropDown="0" showInputMessage="0" showErrorMessage="0" allowBlank="1" type="list">
      <formula1>"Active,In Training,On Leave,Separated"</formula1>
    </dataValidation>
    <dataValidation sqref="P2:P100" showDropDown="0" showInputMessage="0" showErrorMessage="0" allowBlank="1" type="list">
      <formula1>"Yes,No"</formula1>
    </dataValidation>
    <dataValidation sqref="S2:S100" showDropDown="0" showInputMessage="0" showErrorMessage="0" allowBlank="1" type="list">
      <formula1>"Yes,No"</formula1>
    </dataValidation>
    <dataValidation sqref="T2:T100" showDropDown="0" showInputMessage="0" showErrorMessage="0" allowBlank="1" type="list">
      <formula1>"Yes,No"</formula1>
    </dataValidation>
    <dataValidation sqref="U2:U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  <col width="28" customWidth="1" min="5" max="5"/>
    <col width="10" customWidth="1" min="6" max="6"/>
    <col width="12" customWidth="1" min="7" max="7"/>
    <col width="12" customWidth="1" min="8" max="8"/>
    <col width="14" customWidth="1" min="9" max="9"/>
    <col width="10" customWidth="1" min="10" max="10"/>
    <col width="14" customWidth="1" min="11" max="11"/>
    <col width="16" customWidth="1" min="12" max="12"/>
    <col width="24" customWidth="1" min="13" max="13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Start Date</t>
        </is>
      </c>
      <c r="E1" s="1" t="inlineStr">
        <is>
          <t>Training Module</t>
        </is>
      </c>
      <c r="F1" s="1" t="inlineStr">
        <is>
          <t>Required</t>
        </is>
      </c>
      <c r="G1" s="1" t="inlineStr">
        <is>
          <t>Assigned Date</t>
        </is>
      </c>
      <c r="H1" s="1" t="inlineStr">
        <is>
          <t>Due Date</t>
        </is>
      </c>
      <c r="I1" s="1" t="inlineStr">
        <is>
          <t>Completion Date</t>
        </is>
      </c>
      <c r="J1" s="1" t="inlineStr">
        <is>
          <t>Score/Pass</t>
        </is>
      </c>
      <c r="K1" s="1" t="inlineStr">
        <is>
          <t>Status</t>
        </is>
      </c>
      <c r="L1" s="1" t="inlineStr">
        <is>
          <t>Trainer/Proctor</t>
        </is>
      </c>
      <c r="M1" s="1" t="inlineStr">
        <is>
          <t>Notes</t>
        </is>
      </c>
    </row>
    <row r="2">
      <c r="A2" s="14" t="inlineStr">
        <is>
          <t>EMP-001</t>
        </is>
      </c>
      <c r="B2" s="14" t="inlineStr">
        <is>
          <t>Maria Santos</t>
        </is>
      </c>
      <c r="C2" s="14" t="inlineStr">
        <is>
          <t>Customer Service Rep</t>
        </is>
      </c>
      <c r="D2" s="15" t="n">
        <v>46027</v>
      </c>
      <c r="E2" s="14" t="inlineStr">
        <is>
          <t>Company Orientation</t>
        </is>
      </c>
      <c r="F2" s="14" t="inlineStr">
        <is>
          <t>Yes</t>
        </is>
      </c>
      <c r="G2" s="15" t="n">
        <v>46027</v>
      </c>
      <c r="H2" s="15" t="n">
        <v>46028</v>
      </c>
      <c r="I2" s="15" t="n">
        <v>46027</v>
      </c>
      <c r="J2" s="14" t="inlineStr">
        <is>
          <t>Pass</t>
        </is>
      </c>
      <c r="K2" s="14" t="inlineStr">
        <is>
          <t>Complete</t>
        </is>
      </c>
      <c r="L2" s="14" t="inlineStr">
        <is>
          <t>HR Team</t>
        </is>
      </c>
      <c r="M2" s="14" t="inlineStr"/>
    </row>
    <row r="3">
      <c r="A3" s="14" t="inlineStr">
        <is>
          <t>EMP-001</t>
        </is>
      </c>
      <c r="B3" s="14" t="inlineStr">
        <is>
          <t>Maria Santos</t>
        </is>
      </c>
      <c r="C3" s="14" t="inlineStr">
        <is>
          <t>Customer Service Rep</t>
        </is>
      </c>
      <c r="D3" s="15" t="n">
        <v>46027</v>
      </c>
      <c r="E3" s="14" t="inlineStr">
        <is>
          <t>Security Awareness (Annual)</t>
        </is>
      </c>
      <c r="F3" s="14" t="inlineStr">
        <is>
          <t>Yes</t>
        </is>
      </c>
      <c r="G3" s="15" t="n">
        <v>46027</v>
      </c>
      <c r="H3" s="15" t="n">
        <v>46029</v>
      </c>
      <c r="I3" s="15" t="n">
        <v>46028</v>
      </c>
      <c r="J3" s="14" t="inlineStr">
        <is>
          <t>95</t>
        </is>
      </c>
      <c r="K3" s="14" t="inlineStr">
        <is>
          <t>Complete</t>
        </is>
      </c>
      <c r="L3" s="14" t="inlineStr">
        <is>
          <t>FSO Staff</t>
        </is>
      </c>
      <c r="M3" s="14" t="inlineStr"/>
    </row>
    <row r="4">
      <c r="A4" s="14" t="inlineStr">
        <is>
          <t>EMP-001</t>
        </is>
      </c>
      <c r="B4" s="14" t="inlineStr">
        <is>
          <t>Maria Santos</t>
        </is>
      </c>
      <c r="C4" s="14" t="inlineStr">
        <is>
          <t>Customer Service Rep</t>
        </is>
      </c>
      <c r="D4" s="15" t="n">
        <v>46027</v>
      </c>
      <c r="E4" s="14" t="inlineStr">
        <is>
          <t>Privacy Act Training</t>
        </is>
      </c>
      <c r="F4" s="14" t="inlineStr">
        <is>
          <t>Yes</t>
        </is>
      </c>
      <c r="G4" s="15" t="n">
        <v>46027</v>
      </c>
      <c r="H4" s="15" t="n">
        <v>46029</v>
      </c>
      <c r="I4" s="15" t="n">
        <v>46028</v>
      </c>
      <c r="J4" s="14" t="inlineStr">
        <is>
          <t>Pass</t>
        </is>
      </c>
      <c r="K4" s="14" t="inlineStr">
        <is>
          <t>Complete</t>
        </is>
      </c>
      <c r="L4" s="14" t="inlineStr">
        <is>
          <t>FSO Staff</t>
        </is>
      </c>
      <c r="M4" s="14" t="inlineStr"/>
    </row>
    <row r="5">
      <c r="A5" s="14" t="inlineStr">
        <is>
          <t>EMP-001</t>
        </is>
      </c>
      <c r="B5" s="14" t="inlineStr">
        <is>
          <t>Maria Santos</t>
        </is>
      </c>
      <c r="C5" s="14" t="inlineStr">
        <is>
          <t>Customer Service Rep</t>
        </is>
      </c>
      <c r="D5" s="15" t="n">
        <v>46027</v>
      </c>
      <c r="E5" s="14" t="inlineStr">
        <is>
          <t>CUI Handling</t>
        </is>
      </c>
      <c r="F5" s="14" t="inlineStr">
        <is>
          <t>Yes</t>
        </is>
      </c>
      <c r="G5" s="15" t="n">
        <v>46027</v>
      </c>
      <c r="H5" s="15" t="n">
        <v>46029</v>
      </c>
      <c r="I5" s="15" t="n">
        <v>46029</v>
      </c>
      <c r="J5" s="14" t="inlineStr">
        <is>
          <t>90</t>
        </is>
      </c>
      <c r="K5" s="14" t="inlineStr">
        <is>
          <t>Complete</t>
        </is>
      </c>
      <c r="L5" s="14" t="inlineStr">
        <is>
          <t>FSO Staff</t>
        </is>
      </c>
      <c r="M5" s="14" t="inlineStr"/>
    </row>
    <row r="6">
      <c r="A6" s="14" t="inlineStr">
        <is>
          <t>EMP-001</t>
        </is>
      </c>
      <c r="B6" s="14" t="inlineStr">
        <is>
          <t>Maria Santos</t>
        </is>
      </c>
      <c r="C6" s="14" t="inlineStr">
        <is>
          <t>Customer Service Rep</t>
        </is>
      </c>
      <c r="D6" s="15" t="n">
        <v>46027</v>
      </c>
      <c r="E6" s="14" t="inlineStr">
        <is>
          <t>System Access Training</t>
        </is>
      </c>
      <c r="F6" s="14" t="inlineStr">
        <is>
          <t>Yes</t>
        </is>
      </c>
      <c r="G6" s="15" t="n">
        <v>46027</v>
      </c>
      <c r="H6" s="15" t="n">
        <v>46030</v>
      </c>
      <c r="I6" s="15" t="n">
        <v>46029</v>
      </c>
      <c r="J6" s="14" t="inlineStr">
        <is>
          <t>Pass</t>
        </is>
      </c>
      <c r="K6" s="14" t="inlineStr">
        <is>
          <t>Complete</t>
        </is>
      </c>
      <c r="L6" s="14" t="inlineStr">
        <is>
          <t>IT Team</t>
        </is>
      </c>
      <c r="M6" s="14" t="inlineStr"/>
    </row>
    <row r="7">
      <c r="A7" s="14" t="inlineStr">
        <is>
          <t>EMP-001</t>
        </is>
      </c>
      <c r="B7" s="14" t="inlineStr">
        <is>
          <t>Maria Santos</t>
        </is>
      </c>
      <c r="C7" s="14" t="inlineStr">
        <is>
          <t>Customer Service Rep</t>
        </is>
      </c>
      <c r="D7" s="15" t="n">
        <v>46027</v>
      </c>
      <c r="E7" s="14" t="inlineStr">
        <is>
          <t>Position-Specific Training</t>
        </is>
      </c>
      <c r="F7" s="14" t="inlineStr">
        <is>
          <t>Yes</t>
        </is>
      </c>
      <c r="G7" s="15" t="n">
        <v>46027</v>
      </c>
      <c r="H7" s="15" t="n">
        <v>46034</v>
      </c>
      <c r="I7" s="15" t="n">
        <v>46032</v>
      </c>
      <c r="J7" s="14" t="inlineStr">
        <is>
          <t>88</t>
        </is>
      </c>
      <c r="K7" s="14" t="inlineStr">
        <is>
          <t>Complete</t>
        </is>
      </c>
      <c r="L7" s="14" t="inlineStr">
        <is>
          <t>James Mitchell</t>
        </is>
      </c>
      <c r="M7" s="14" t="inlineStr"/>
    </row>
    <row r="8">
      <c r="A8" s="14" t="inlineStr">
        <is>
          <t>EMP-001</t>
        </is>
      </c>
      <c r="B8" s="14" t="inlineStr">
        <is>
          <t>Maria Santos</t>
        </is>
      </c>
      <c r="C8" s="14" t="inlineStr">
        <is>
          <t>Customer Service Rep</t>
        </is>
      </c>
      <c r="D8" s="15" t="n">
        <v>46027</v>
      </c>
      <c r="E8" s="14" t="inlineStr">
        <is>
          <t>Call Center Software</t>
        </is>
      </c>
      <c r="F8" s="14" t="inlineStr">
        <is>
          <t>Yes</t>
        </is>
      </c>
      <c r="G8" s="15" t="n">
        <v>46027</v>
      </c>
      <c r="H8" s="15" t="n">
        <v>46034</v>
      </c>
      <c r="I8" s="15" t="n">
        <v>46032</v>
      </c>
      <c r="J8" s="14" t="inlineStr">
        <is>
          <t>92</t>
        </is>
      </c>
      <c r="K8" s="14" t="inlineStr">
        <is>
          <t>Complete</t>
        </is>
      </c>
      <c r="L8" s="14" t="inlineStr">
        <is>
          <t>Training Team</t>
        </is>
      </c>
      <c r="M8" s="14" t="inlineStr"/>
    </row>
    <row r="9">
      <c r="A9" s="14" t="inlineStr">
        <is>
          <t>EMP-001</t>
        </is>
      </c>
      <c r="B9" s="14" t="inlineStr">
        <is>
          <t>Maria Santos</t>
        </is>
      </c>
      <c r="C9" s="14" t="inlineStr">
        <is>
          <t>Customer Service Rep</t>
        </is>
      </c>
      <c r="D9" s="15" t="n">
        <v>46027</v>
      </c>
      <c r="E9" s="14" t="inlineStr">
        <is>
          <t>Quality Standards Review</t>
        </is>
      </c>
      <c r="F9" s="14" t="inlineStr">
        <is>
          <t>Yes</t>
        </is>
      </c>
      <c r="G9" s="15" t="n">
        <v>46027</v>
      </c>
      <c r="H9" s="15" t="n">
        <v>46034</v>
      </c>
      <c r="I9" s="15" t="n">
        <v>46033</v>
      </c>
      <c r="J9" s="14" t="inlineStr">
        <is>
          <t>Pass</t>
        </is>
      </c>
      <c r="K9" s="14" t="inlineStr">
        <is>
          <t>Complete</t>
        </is>
      </c>
      <c r="L9" s="14" t="inlineStr">
        <is>
          <t>QA Lead</t>
        </is>
      </c>
      <c r="M9" s="14" t="inlineStr"/>
    </row>
    <row r="10">
      <c r="A10" s="14" t="inlineStr">
        <is>
          <t>EMP-001</t>
        </is>
      </c>
      <c r="B10" s="14" t="inlineStr">
        <is>
          <t>Maria Santos</t>
        </is>
      </c>
      <c r="C10" s="14" t="inlineStr">
        <is>
          <t>Customer Service Rep</t>
        </is>
      </c>
      <c r="D10" s="15" t="n">
        <v>46027</v>
      </c>
      <c r="E10" s="14" t="inlineStr">
        <is>
          <t>Remote Work Policy Review</t>
        </is>
      </c>
      <c r="F10" s="14" t="inlineStr">
        <is>
          <t>Yes</t>
        </is>
      </c>
      <c r="G10" s="15" t="n">
        <v>46027</v>
      </c>
      <c r="H10" s="15" t="n">
        <v>46029</v>
      </c>
      <c r="I10" s="15" t="n">
        <v>46028</v>
      </c>
      <c r="J10" s="14" t="inlineStr">
        <is>
          <t>Pass</t>
        </is>
      </c>
      <c r="K10" s="14" t="inlineStr">
        <is>
          <t>Complete</t>
        </is>
      </c>
      <c r="L10" s="14" t="inlineStr">
        <is>
          <t>HR Team</t>
        </is>
      </c>
      <c r="M10" s="14" t="inlineStr"/>
    </row>
    <row r="11">
      <c r="A11" s="14" t="inlineStr">
        <is>
          <t>EMP-001</t>
        </is>
      </c>
      <c r="B11" s="14" t="inlineStr">
        <is>
          <t>Maria Santos</t>
        </is>
      </c>
      <c r="C11" s="14" t="inlineStr">
        <is>
          <t>Customer Service Rep</t>
        </is>
      </c>
      <c r="D11" s="15" t="n">
        <v>46027</v>
      </c>
      <c r="E11" s="14" t="inlineStr">
        <is>
          <t>Supervisor Introduction</t>
        </is>
      </c>
      <c r="F11" s="14" t="inlineStr">
        <is>
          <t>Yes</t>
        </is>
      </c>
      <c r="G11" s="15" t="n">
        <v>46027</v>
      </c>
      <c r="H11" s="15" t="n">
        <v>46028</v>
      </c>
      <c r="I11" s="15" t="n">
        <v>46027</v>
      </c>
      <c r="J11" s="14" t="inlineStr">
        <is>
          <t>N/A</t>
        </is>
      </c>
      <c r="K11" s="14" t="inlineStr">
        <is>
          <t>Complete</t>
        </is>
      </c>
      <c r="L11" s="14" t="inlineStr">
        <is>
          <t>James Mitchell</t>
        </is>
      </c>
      <c r="M11" s="14" t="inlineStr"/>
    </row>
    <row r="12">
      <c r="A12" s="14" t="inlineStr">
        <is>
          <t>EMP-001</t>
        </is>
      </c>
      <c r="B12" s="14" t="inlineStr">
        <is>
          <t>Maria Santos</t>
        </is>
      </c>
      <c r="C12" s="14" t="inlineStr">
        <is>
          <t>Customer Service Rep</t>
        </is>
      </c>
      <c r="D12" s="15" t="n">
        <v>46027</v>
      </c>
      <c r="E12" s="14" t="inlineStr">
        <is>
          <t>First Day Checklist Review</t>
        </is>
      </c>
      <c r="F12" s="14" t="inlineStr">
        <is>
          <t>Yes</t>
        </is>
      </c>
      <c r="G12" s="15" t="n">
        <v>46027</v>
      </c>
      <c r="H12" s="15" t="n">
        <v>46028</v>
      </c>
      <c r="I12" s="15" t="n">
        <v>46027</v>
      </c>
      <c r="J12" s="14" t="inlineStr">
        <is>
          <t>Pass</t>
        </is>
      </c>
      <c r="K12" s="14" t="inlineStr">
        <is>
          <t>Complete</t>
        </is>
      </c>
      <c r="L12" s="14" t="inlineStr">
        <is>
          <t>HR Team</t>
        </is>
      </c>
      <c r="M12" s="14" t="inlineStr"/>
    </row>
    <row r="13">
      <c r="A13" s="14" t="inlineStr">
        <is>
          <t>EMP-002</t>
        </is>
      </c>
      <c r="B13" s="14" t="inlineStr">
        <is>
          <t>David Thompson</t>
        </is>
      </c>
      <c r="C13" s="14" t="inlineStr">
        <is>
          <t>Claims Processor</t>
        </is>
      </c>
      <c r="D13" s="15" t="n">
        <v>46027</v>
      </c>
      <c r="E13" s="14" t="inlineStr">
        <is>
          <t>Company Orientation</t>
        </is>
      </c>
      <c r="F13" s="14" t="inlineStr">
        <is>
          <t>Yes</t>
        </is>
      </c>
      <c r="G13" s="15" t="n">
        <v>46027</v>
      </c>
      <c r="H13" s="15" t="n">
        <v>46028</v>
      </c>
      <c r="I13" s="15" t="n">
        <v>46027</v>
      </c>
      <c r="J13" s="14" t="inlineStr">
        <is>
          <t>Pass</t>
        </is>
      </c>
      <c r="K13" s="14" t="inlineStr">
        <is>
          <t>Complete</t>
        </is>
      </c>
      <c r="L13" s="14" t="inlineStr">
        <is>
          <t>HR Team</t>
        </is>
      </c>
      <c r="M13" s="14" t="inlineStr"/>
    </row>
    <row r="14">
      <c r="A14" s="14" t="inlineStr">
        <is>
          <t>EMP-002</t>
        </is>
      </c>
      <c r="B14" s="14" t="inlineStr">
        <is>
          <t>David Thompson</t>
        </is>
      </c>
      <c r="C14" s="14" t="inlineStr">
        <is>
          <t>Claims Processor</t>
        </is>
      </c>
      <c r="D14" s="15" t="n">
        <v>46027</v>
      </c>
      <c r="E14" s="14" t="inlineStr">
        <is>
          <t>Security Awareness (Annual)</t>
        </is>
      </c>
      <c r="F14" s="14" t="inlineStr">
        <is>
          <t>Yes</t>
        </is>
      </c>
      <c r="G14" s="15" t="n">
        <v>46027</v>
      </c>
      <c r="H14" s="15" t="n">
        <v>46029</v>
      </c>
      <c r="I14" s="15" t="n">
        <v>46028</v>
      </c>
      <c r="J14" s="14" t="inlineStr">
        <is>
          <t>88</t>
        </is>
      </c>
      <c r="K14" s="14" t="inlineStr">
        <is>
          <t>Complete</t>
        </is>
      </c>
      <c r="L14" s="14" t="inlineStr">
        <is>
          <t>FSO Staff</t>
        </is>
      </c>
      <c r="M14" s="14" t="inlineStr"/>
    </row>
    <row r="15">
      <c r="A15" s="14" t="inlineStr">
        <is>
          <t>EMP-002</t>
        </is>
      </c>
      <c r="B15" s="14" t="inlineStr">
        <is>
          <t>David Thompson</t>
        </is>
      </c>
      <c r="C15" s="14" t="inlineStr">
        <is>
          <t>Claims Processor</t>
        </is>
      </c>
      <c r="D15" s="15" t="n">
        <v>46027</v>
      </c>
      <c r="E15" s="14" t="inlineStr">
        <is>
          <t>Privacy Act Training</t>
        </is>
      </c>
      <c r="F15" s="14" t="inlineStr">
        <is>
          <t>Yes</t>
        </is>
      </c>
      <c r="G15" s="15" t="n">
        <v>46027</v>
      </c>
      <c r="H15" s="15" t="n">
        <v>46029</v>
      </c>
      <c r="I15" s="15" t="n">
        <v>46028</v>
      </c>
      <c r="J15" s="14" t="inlineStr">
        <is>
          <t>Pass</t>
        </is>
      </c>
      <c r="K15" s="14" t="inlineStr">
        <is>
          <t>Complete</t>
        </is>
      </c>
      <c r="L15" s="14" t="inlineStr">
        <is>
          <t>FSO Staff</t>
        </is>
      </c>
      <c r="M15" s="14" t="inlineStr"/>
    </row>
    <row r="16">
      <c r="A16" s="14" t="inlineStr">
        <is>
          <t>EMP-002</t>
        </is>
      </c>
      <c r="B16" s="14" t="inlineStr">
        <is>
          <t>David Thompson</t>
        </is>
      </c>
      <c r="C16" s="14" t="inlineStr">
        <is>
          <t>Claims Processor</t>
        </is>
      </c>
      <c r="D16" s="15" t="n">
        <v>46027</v>
      </c>
      <c r="E16" s="14" t="inlineStr">
        <is>
          <t>CUI Handling</t>
        </is>
      </c>
      <c r="F16" s="14" t="inlineStr">
        <is>
          <t>Yes</t>
        </is>
      </c>
      <c r="G16" s="15" t="n">
        <v>46027</v>
      </c>
      <c r="H16" s="15" t="n">
        <v>46029</v>
      </c>
      <c r="I16" s="15" t="n">
        <v>46029</v>
      </c>
      <c r="J16" s="14" t="inlineStr">
        <is>
          <t>85</t>
        </is>
      </c>
      <c r="K16" s="14" t="inlineStr">
        <is>
          <t>Complete</t>
        </is>
      </c>
      <c r="L16" s="14" t="inlineStr">
        <is>
          <t>FSO Staff</t>
        </is>
      </c>
      <c r="M16" s="14" t="inlineStr"/>
    </row>
    <row r="17">
      <c r="A17" s="14" t="inlineStr">
        <is>
          <t>EMP-002</t>
        </is>
      </c>
      <c r="B17" s="14" t="inlineStr">
        <is>
          <t>David Thompson</t>
        </is>
      </c>
      <c r="C17" s="14" t="inlineStr">
        <is>
          <t>Claims Processor</t>
        </is>
      </c>
      <c r="D17" s="15" t="n">
        <v>46027</v>
      </c>
      <c r="E17" s="14" t="inlineStr">
        <is>
          <t>System Access Training</t>
        </is>
      </c>
      <c r="F17" s="14" t="inlineStr">
        <is>
          <t>Yes</t>
        </is>
      </c>
      <c r="G17" s="15" t="n">
        <v>46027</v>
      </c>
      <c r="H17" s="15" t="n">
        <v>46030</v>
      </c>
      <c r="I17" s="15" t="n">
        <v>46030</v>
      </c>
      <c r="J17" s="14" t="inlineStr">
        <is>
          <t>Pass</t>
        </is>
      </c>
      <c r="K17" s="14" t="inlineStr">
        <is>
          <t>Complete</t>
        </is>
      </c>
      <c r="L17" s="14" t="inlineStr">
        <is>
          <t>IT Team</t>
        </is>
      </c>
      <c r="M17" s="14" t="inlineStr"/>
    </row>
    <row r="18">
      <c r="A18" s="14" t="inlineStr">
        <is>
          <t>EMP-002</t>
        </is>
      </c>
      <c r="B18" s="14" t="inlineStr">
        <is>
          <t>David Thompson</t>
        </is>
      </c>
      <c r="C18" s="14" t="inlineStr">
        <is>
          <t>Claims Processor</t>
        </is>
      </c>
      <c r="D18" s="15" t="n">
        <v>46027</v>
      </c>
      <c r="E18" s="14" t="inlineStr">
        <is>
          <t>Position-Specific Training</t>
        </is>
      </c>
      <c r="F18" s="14" t="inlineStr">
        <is>
          <t>Yes</t>
        </is>
      </c>
      <c r="G18" s="15" t="n">
        <v>46027</v>
      </c>
      <c r="H18" s="15" t="n">
        <v>46034</v>
      </c>
      <c r="I18" s="15" t="n">
        <v>46034</v>
      </c>
      <c r="J18" s="14" t="inlineStr">
        <is>
          <t>82</t>
        </is>
      </c>
      <c r="K18" s="14" t="inlineStr">
        <is>
          <t>Complete</t>
        </is>
      </c>
      <c r="L18" s="14" t="inlineStr">
        <is>
          <t>James Mitchell</t>
        </is>
      </c>
      <c r="M18" s="14" t="inlineStr"/>
    </row>
    <row r="19">
      <c r="A19" s="14" t="inlineStr">
        <is>
          <t>EMP-002</t>
        </is>
      </c>
      <c r="B19" s="14" t="inlineStr">
        <is>
          <t>David Thompson</t>
        </is>
      </c>
      <c r="C19" s="14" t="inlineStr">
        <is>
          <t>Claims Processor</t>
        </is>
      </c>
      <c r="D19" s="15" t="n">
        <v>46027</v>
      </c>
      <c r="E19" s="14" t="inlineStr">
        <is>
          <t>Call Center Software</t>
        </is>
      </c>
      <c r="F19" s="14" t="inlineStr">
        <is>
          <t>No</t>
        </is>
      </c>
      <c r="G19" s="15" t="n">
        <v>46027</v>
      </c>
      <c r="H19" s="15" t="n">
        <v>46034</v>
      </c>
      <c r="I19" s="15" t="n"/>
      <c r="J19" s="14" t="inlineStr">
        <is>
          <t>N/A</t>
        </is>
      </c>
      <c r="K19" s="14" t="inlineStr">
        <is>
          <t>Complete</t>
        </is>
      </c>
      <c r="L19" s="14" t="inlineStr">
        <is>
          <t>Training Team</t>
        </is>
      </c>
      <c r="M19" s="14" t="inlineStr">
        <is>
          <t>Not applicable for claims</t>
        </is>
      </c>
    </row>
    <row r="20">
      <c r="A20" s="14" t="inlineStr">
        <is>
          <t>EMP-002</t>
        </is>
      </c>
      <c r="B20" s="14" t="inlineStr">
        <is>
          <t>David Thompson</t>
        </is>
      </c>
      <c r="C20" s="14" t="inlineStr">
        <is>
          <t>Claims Processor</t>
        </is>
      </c>
      <c r="D20" s="15" t="n">
        <v>46027</v>
      </c>
      <c r="E20" s="14" t="inlineStr">
        <is>
          <t>Quality Standards Review</t>
        </is>
      </c>
      <c r="F20" s="14" t="inlineStr">
        <is>
          <t>Yes</t>
        </is>
      </c>
      <c r="G20" s="15" t="n">
        <v>46027</v>
      </c>
      <c r="H20" s="15" t="n">
        <v>46034</v>
      </c>
      <c r="I20" s="15" t="n">
        <v>46033</v>
      </c>
      <c r="J20" s="14" t="inlineStr">
        <is>
          <t>Pass</t>
        </is>
      </c>
      <c r="K20" s="14" t="inlineStr">
        <is>
          <t>Complete</t>
        </is>
      </c>
      <c r="L20" s="14" t="inlineStr">
        <is>
          <t>QA Lead</t>
        </is>
      </c>
      <c r="M20" s="14" t="inlineStr"/>
    </row>
    <row r="21">
      <c r="A21" s="14" t="inlineStr">
        <is>
          <t>EMP-002</t>
        </is>
      </c>
      <c r="B21" s="14" t="inlineStr">
        <is>
          <t>David Thompson</t>
        </is>
      </c>
      <c r="C21" s="14" t="inlineStr">
        <is>
          <t>Claims Processor</t>
        </is>
      </c>
      <c r="D21" s="15" t="n">
        <v>46027</v>
      </c>
      <c r="E21" s="14" t="inlineStr">
        <is>
          <t>Remote Work Policy Review</t>
        </is>
      </c>
      <c r="F21" s="14" t="inlineStr">
        <is>
          <t>Yes</t>
        </is>
      </c>
      <c r="G21" s="15" t="n">
        <v>46027</v>
      </c>
      <c r="H21" s="15" t="n">
        <v>46029</v>
      </c>
      <c r="I21" s="15" t="n">
        <v>46028</v>
      </c>
      <c r="J21" s="14" t="inlineStr">
        <is>
          <t>Pass</t>
        </is>
      </c>
      <c r="K21" s="14" t="inlineStr">
        <is>
          <t>Complete</t>
        </is>
      </c>
      <c r="L21" s="14" t="inlineStr">
        <is>
          <t>HR Team</t>
        </is>
      </c>
      <c r="M21" s="14" t="inlineStr"/>
    </row>
    <row r="22">
      <c r="A22" s="14" t="inlineStr">
        <is>
          <t>EMP-002</t>
        </is>
      </c>
      <c r="B22" s="14" t="inlineStr">
        <is>
          <t>David Thompson</t>
        </is>
      </c>
      <c r="C22" s="14" t="inlineStr">
        <is>
          <t>Claims Processor</t>
        </is>
      </c>
      <c r="D22" s="15" t="n">
        <v>46027</v>
      </c>
      <c r="E22" s="14" t="inlineStr">
        <is>
          <t>Supervisor Introduction</t>
        </is>
      </c>
      <c r="F22" s="14" t="inlineStr">
        <is>
          <t>Yes</t>
        </is>
      </c>
      <c r="G22" s="15" t="n">
        <v>46027</v>
      </c>
      <c r="H22" s="15" t="n">
        <v>46028</v>
      </c>
      <c r="I22" s="15" t="n">
        <v>46027</v>
      </c>
      <c r="J22" s="14" t="inlineStr">
        <is>
          <t>N/A</t>
        </is>
      </c>
      <c r="K22" s="14" t="inlineStr">
        <is>
          <t>Complete</t>
        </is>
      </c>
      <c r="L22" s="14" t="inlineStr">
        <is>
          <t>James Mitchell</t>
        </is>
      </c>
      <c r="M22" s="14" t="inlineStr"/>
    </row>
    <row r="23">
      <c r="A23" s="14" t="inlineStr">
        <is>
          <t>EMP-002</t>
        </is>
      </c>
      <c r="B23" s="14" t="inlineStr">
        <is>
          <t>David Thompson</t>
        </is>
      </c>
      <c r="C23" s="14" t="inlineStr">
        <is>
          <t>Claims Processor</t>
        </is>
      </c>
      <c r="D23" s="15" t="n">
        <v>46027</v>
      </c>
      <c r="E23" s="14" t="inlineStr">
        <is>
          <t>First Day Checklist Review</t>
        </is>
      </c>
      <c r="F23" s="14" t="inlineStr">
        <is>
          <t>Yes</t>
        </is>
      </c>
      <c r="G23" s="15" t="n">
        <v>46027</v>
      </c>
      <c r="H23" s="15" t="n">
        <v>46028</v>
      </c>
      <c r="I23" s="15" t="n">
        <v>46027</v>
      </c>
      <c r="J23" s="14" t="inlineStr">
        <is>
          <t>Pass</t>
        </is>
      </c>
      <c r="K23" s="14" t="inlineStr">
        <is>
          <t>Complete</t>
        </is>
      </c>
      <c r="L23" s="14" t="inlineStr">
        <is>
          <t>HR Team</t>
        </is>
      </c>
      <c r="M23" s="14" t="inlineStr"/>
    </row>
    <row r="24">
      <c r="A24" s="14" t="inlineStr">
        <is>
          <t>EMP-005</t>
        </is>
      </c>
      <c r="B24" s="14" t="inlineStr">
        <is>
          <t>Ashley Williams</t>
        </is>
      </c>
      <c r="C24" s="14" t="inlineStr">
        <is>
          <t>Customer Service Rep</t>
        </is>
      </c>
      <c r="D24" s="15" t="n">
        <v>46041</v>
      </c>
      <c r="E24" s="14" t="inlineStr">
        <is>
          <t>Company Orientation</t>
        </is>
      </c>
      <c r="F24" s="14" t="inlineStr">
        <is>
          <t>Yes</t>
        </is>
      </c>
      <c r="G24" s="15" t="n">
        <v>46041</v>
      </c>
      <c r="H24" s="15" t="n">
        <v>46042</v>
      </c>
      <c r="I24" s="15" t="n">
        <v>46041</v>
      </c>
      <c r="J24" s="14" t="inlineStr">
        <is>
          <t>Pass</t>
        </is>
      </c>
      <c r="K24" s="14" t="inlineStr">
        <is>
          <t>Complete</t>
        </is>
      </c>
      <c r="L24" s="14" t="inlineStr">
        <is>
          <t>HR Team</t>
        </is>
      </c>
      <c r="M24" s="14" t="inlineStr"/>
    </row>
    <row r="25">
      <c r="A25" s="14" t="inlineStr">
        <is>
          <t>EMP-005</t>
        </is>
      </c>
      <c r="B25" s="14" t="inlineStr">
        <is>
          <t>Ashley Williams</t>
        </is>
      </c>
      <c r="C25" s="14" t="inlineStr">
        <is>
          <t>Customer Service Rep</t>
        </is>
      </c>
      <c r="D25" s="15" t="n">
        <v>46041</v>
      </c>
      <c r="E25" s="14" t="inlineStr">
        <is>
          <t>Security Awareness (Annual)</t>
        </is>
      </c>
      <c r="F25" s="14" t="inlineStr">
        <is>
          <t>Yes</t>
        </is>
      </c>
      <c r="G25" s="15" t="n">
        <v>46041</v>
      </c>
      <c r="H25" s="15" t="n">
        <v>46043</v>
      </c>
      <c r="I25" s="15" t="n">
        <v>46042</v>
      </c>
      <c r="J25" s="14" t="inlineStr">
        <is>
          <t>91</t>
        </is>
      </c>
      <c r="K25" s="14" t="inlineStr">
        <is>
          <t>Complete</t>
        </is>
      </c>
      <c r="L25" s="14" t="inlineStr">
        <is>
          <t>FSO Staff</t>
        </is>
      </c>
      <c r="M25" s="14" t="inlineStr"/>
    </row>
    <row r="26">
      <c r="A26" s="14" t="inlineStr">
        <is>
          <t>EMP-005</t>
        </is>
      </c>
      <c r="B26" s="14" t="inlineStr">
        <is>
          <t>Ashley Williams</t>
        </is>
      </c>
      <c r="C26" s="14" t="inlineStr">
        <is>
          <t>Customer Service Rep</t>
        </is>
      </c>
      <c r="D26" s="15" t="n">
        <v>46041</v>
      </c>
      <c r="E26" s="14" t="inlineStr">
        <is>
          <t>Privacy Act Training</t>
        </is>
      </c>
      <c r="F26" s="14" t="inlineStr">
        <is>
          <t>Yes</t>
        </is>
      </c>
      <c r="G26" s="15" t="n">
        <v>46041</v>
      </c>
      <c r="H26" s="15" t="n">
        <v>46043</v>
      </c>
      <c r="I26" s="15" t="n">
        <v>46042</v>
      </c>
      <c r="J26" s="14" t="inlineStr">
        <is>
          <t>Pass</t>
        </is>
      </c>
      <c r="K26" s="14" t="inlineStr">
        <is>
          <t>Complete</t>
        </is>
      </c>
      <c r="L26" s="14" t="inlineStr">
        <is>
          <t>FSO Staff</t>
        </is>
      </c>
      <c r="M26" s="14" t="inlineStr"/>
    </row>
    <row r="27">
      <c r="A27" s="14" t="inlineStr">
        <is>
          <t>EMP-005</t>
        </is>
      </c>
      <c r="B27" s="14" t="inlineStr">
        <is>
          <t>Ashley Williams</t>
        </is>
      </c>
      <c r="C27" s="14" t="inlineStr">
        <is>
          <t>Customer Service Rep</t>
        </is>
      </c>
      <c r="D27" s="15" t="n">
        <v>46041</v>
      </c>
      <c r="E27" s="14" t="inlineStr">
        <is>
          <t>CUI Handling</t>
        </is>
      </c>
      <c r="F27" s="14" t="inlineStr">
        <is>
          <t>Yes</t>
        </is>
      </c>
      <c r="G27" s="15" t="n">
        <v>46041</v>
      </c>
      <c r="H27" s="15" t="n">
        <v>46043</v>
      </c>
      <c r="I27" s="15" t="n">
        <v>46043</v>
      </c>
      <c r="J27" s="14" t="inlineStr">
        <is>
          <t>87</t>
        </is>
      </c>
      <c r="K27" s="14" t="inlineStr">
        <is>
          <t>Complete</t>
        </is>
      </c>
      <c r="L27" s="14" t="inlineStr">
        <is>
          <t>FSO Staff</t>
        </is>
      </c>
      <c r="M27" s="14" t="inlineStr"/>
    </row>
    <row r="28">
      <c r="A28" s="14" t="inlineStr">
        <is>
          <t>EMP-005</t>
        </is>
      </c>
      <c r="B28" s="14" t="inlineStr">
        <is>
          <t>Ashley Williams</t>
        </is>
      </c>
      <c r="C28" s="14" t="inlineStr">
        <is>
          <t>Customer Service Rep</t>
        </is>
      </c>
      <c r="D28" s="15" t="n">
        <v>46041</v>
      </c>
      <c r="E28" s="14" t="inlineStr">
        <is>
          <t>System Access Training</t>
        </is>
      </c>
      <c r="F28" s="14" t="inlineStr">
        <is>
          <t>Yes</t>
        </is>
      </c>
      <c r="G28" s="15" t="n">
        <v>46041</v>
      </c>
      <c r="H28" s="15" t="n">
        <v>46044</v>
      </c>
      <c r="I28" s="15" t="n">
        <v>46044</v>
      </c>
      <c r="J28" s="14" t="inlineStr">
        <is>
          <t>Pass</t>
        </is>
      </c>
      <c r="K28" s="14" t="inlineStr">
        <is>
          <t>Complete</t>
        </is>
      </c>
      <c r="L28" s="14" t="inlineStr">
        <is>
          <t>IT Team</t>
        </is>
      </c>
      <c r="M28" s="14" t="inlineStr"/>
    </row>
    <row r="29">
      <c r="A29" s="14" t="inlineStr">
        <is>
          <t>EMP-005</t>
        </is>
      </c>
      <c r="B29" s="14" t="inlineStr">
        <is>
          <t>Ashley Williams</t>
        </is>
      </c>
      <c r="C29" s="14" t="inlineStr">
        <is>
          <t>Customer Service Rep</t>
        </is>
      </c>
      <c r="D29" s="15" t="n">
        <v>46041</v>
      </c>
      <c r="E29" s="14" t="inlineStr">
        <is>
          <t>Position-Specific Training</t>
        </is>
      </c>
      <c r="F29" s="14" t="inlineStr">
        <is>
          <t>Yes</t>
        </is>
      </c>
      <c r="G29" s="15" t="n">
        <v>46041</v>
      </c>
      <c r="H29" s="15" t="n">
        <v>46048</v>
      </c>
      <c r="I29" s="15" t="n">
        <v>46046</v>
      </c>
      <c r="J29" s="14" t="inlineStr">
        <is>
          <t>79</t>
        </is>
      </c>
      <c r="K29" s="14" t="inlineStr">
        <is>
          <t>Complete</t>
        </is>
      </c>
      <c r="L29" s="14" t="inlineStr">
        <is>
          <t>James Mitchell</t>
        </is>
      </c>
      <c r="M29" s="14" t="inlineStr"/>
    </row>
    <row r="30">
      <c r="A30" s="14" t="inlineStr">
        <is>
          <t>EMP-005</t>
        </is>
      </c>
      <c r="B30" s="14" t="inlineStr">
        <is>
          <t>Ashley Williams</t>
        </is>
      </c>
      <c r="C30" s="14" t="inlineStr">
        <is>
          <t>Customer Service Rep</t>
        </is>
      </c>
      <c r="D30" s="15" t="n">
        <v>46041</v>
      </c>
      <c r="E30" s="14" t="inlineStr">
        <is>
          <t>Call Center Software</t>
        </is>
      </c>
      <c r="F30" s="14" t="inlineStr">
        <is>
          <t>Yes</t>
        </is>
      </c>
      <c r="G30" s="15" t="n">
        <v>46041</v>
      </c>
      <c r="H30" s="15" t="n">
        <v>46048</v>
      </c>
      <c r="I30" s="15" t="n">
        <v>46047</v>
      </c>
      <c r="J30" s="14" t="inlineStr">
        <is>
          <t>84</t>
        </is>
      </c>
      <c r="K30" s="14" t="inlineStr">
        <is>
          <t>Complete</t>
        </is>
      </c>
      <c r="L30" s="14" t="inlineStr">
        <is>
          <t>Training Team</t>
        </is>
      </c>
      <c r="M30" s="14" t="inlineStr"/>
    </row>
    <row r="31">
      <c r="A31" s="14" t="inlineStr">
        <is>
          <t>EMP-005</t>
        </is>
      </c>
      <c r="B31" s="14" t="inlineStr">
        <is>
          <t>Ashley Williams</t>
        </is>
      </c>
      <c r="C31" s="14" t="inlineStr">
        <is>
          <t>Customer Service Rep</t>
        </is>
      </c>
      <c r="D31" s="15" t="n">
        <v>46041</v>
      </c>
      <c r="E31" s="14" t="inlineStr">
        <is>
          <t>Quality Standards Review</t>
        </is>
      </c>
      <c r="F31" s="14" t="inlineStr">
        <is>
          <t>Yes</t>
        </is>
      </c>
      <c r="G31" s="15" t="n">
        <v>46041</v>
      </c>
      <c r="H31" s="15" t="n">
        <v>46048</v>
      </c>
      <c r="I31" s="15" t="n">
        <v>46047</v>
      </c>
      <c r="J31" s="14" t="inlineStr">
        <is>
          <t>Pass</t>
        </is>
      </c>
      <c r="K31" s="14" t="inlineStr">
        <is>
          <t>Complete</t>
        </is>
      </c>
      <c r="L31" s="14" t="inlineStr">
        <is>
          <t>QA Lead</t>
        </is>
      </c>
      <c r="M31" s="14" t="inlineStr"/>
    </row>
    <row r="32">
      <c r="A32" s="14" t="inlineStr">
        <is>
          <t>EMP-005</t>
        </is>
      </c>
      <c r="B32" s="14" t="inlineStr">
        <is>
          <t>Ashley Williams</t>
        </is>
      </c>
      <c r="C32" s="14" t="inlineStr">
        <is>
          <t>Customer Service Rep</t>
        </is>
      </c>
      <c r="D32" s="15" t="n">
        <v>46041</v>
      </c>
      <c r="E32" s="14" t="inlineStr">
        <is>
          <t>Remote Work Policy Review</t>
        </is>
      </c>
      <c r="F32" s="14" t="inlineStr">
        <is>
          <t>Yes</t>
        </is>
      </c>
      <c r="G32" s="15" t="n">
        <v>46041</v>
      </c>
      <c r="H32" s="15" t="n">
        <v>46043</v>
      </c>
      <c r="I32" s="15" t="n">
        <v>46042</v>
      </c>
      <c r="J32" s="14" t="inlineStr">
        <is>
          <t>Pass</t>
        </is>
      </c>
      <c r="K32" s="14" t="inlineStr">
        <is>
          <t>Complete</t>
        </is>
      </c>
      <c r="L32" s="14" t="inlineStr">
        <is>
          <t>HR Team</t>
        </is>
      </c>
      <c r="M32" s="14" t="inlineStr"/>
    </row>
    <row r="33">
      <c r="A33" s="14" t="inlineStr">
        <is>
          <t>EMP-005</t>
        </is>
      </c>
      <c r="B33" s="14" t="inlineStr">
        <is>
          <t>Ashley Williams</t>
        </is>
      </c>
      <c r="C33" s="14" t="inlineStr">
        <is>
          <t>Customer Service Rep</t>
        </is>
      </c>
      <c r="D33" s="15" t="n">
        <v>46041</v>
      </c>
      <c r="E33" s="14" t="inlineStr">
        <is>
          <t>Supervisor Introduction</t>
        </is>
      </c>
      <c r="F33" s="14" t="inlineStr">
        <is>
          <t>Yes</t>
        </is>
      </c>
      <c r="G33" s="15" t="n">
        <v>46041</v>
      </c>
      <c r="H33" s="15" t="n">
        <v>46042</v>
      </c>
      <c r="I33" s="15" t="n">
        <v>46041</v>
      </c>
      <c r="J33" s="14" t="inlineStr">
        <is>
          <t>N/A</t>
        </is>
      </c>
      <c r="K33" s="14" t="inlineStr">
        <is>
          <t>Complete</t>
        </is>
      </c>
      <c r="L33" s="14" t="inlineStr">
        <is>
          <t>James Mitchell</t>
        </is>
      </c>
      <c r="M33" s="14" t="inlineStr"/>
    </row>
    <row r="34">
      <c r="A34" s="14" t="inlineStr">
        <is>
          <t>EMP-005</t>
        </is>
      </c>
      <c r="B34" s="14" t="inlineStr">
        <is>
          <t>Ashley Williams</t>
        </is>
      </c>
      <c r="C34" s="14" t="inlineStr">
        <is>
          <t>Customer Service Rep</t>
        </is>
      </c>
      <c r="D34" s="15" t="n">
        <v>46041</v>
      </c>
      <c r="E34" s="14" t="inlineStr">
        <is>
          <t>First Day Checklist Review</t>
        </is>
      </c>
      <c r="F34" s="14" t="inlineStr">
        <is>
          <t>Yes</t>
        </is>
      </c>
      <c r="G34" s="15" t="n">
        <v>46041</v>
      </c>
      <c r="H34" s="15" t="n">
        <v>46042</v>
      </c>
      <c r="I34" s="15" t="n">
        <v>46041</v>
      </c>
      <c r="J34" s="14" t="inlineStr">
        <is>
          <t>Pass</t>
        </is>
      </c>
      <c r="K34" s="14" t="inlineStr">
        <is>
          <t>Complete</t>
        </is>
      </c>
      <c r="L34" s="14" t="inlineStr">
        <is>
          <t>HR Team</t>
        </is>
      </c>
      <c r="M34" s="14" t="inlineStr"/>
    </row>
    <row r="35">
      <c r="A35" s="14" t="inlineStr">
        <is>
          <t>EMP-009</t>
        </is>
      </c>
      <c r="B35" s="14" t="inlineStr">
        <is>
          <t>Brittany Davis</t>
        </is>
      </c>
      <c r="C35" s="14" t="inlineStr">
        <is>
          <t>Customer Service Rep</t>
        </is>
      </c>
      <c r="D35" s="15" t="n">
        <v>46083</v>
      </c>
      <c r="E35" s="14" t="inlineStr">
        <is>
          <t>Company Orientation</t>
        </is>
      </c>
      <c r="F35" s="14" t="inlineStr">
        <is>
          <t>Yes</t>
        </is>
      </c>
      <c r="G35" s="15" t="n">
        <v>46083</v>
      </c>
      <c r="H35" s="15" t="n">
        <v>46084</v>
      </c>
      <c r="I35" s="15" t="n">
        <v>46083</v>
      </c>
      <c r="J35" s="14" t="inlineStr">
        <is>
          <t>Pass</t>
        </is>
      </c>
      <c r="K35" s="14" t="inlineStr">
        <is>
          <t>Complete</t>
        </is>
      </c>
      <c r="L35" s="14" t="inlineStr">
        <is>
          <t>HR Team</t>
        </is>
      </c>
      <c r="M35" s="14" t="inlineStr"/>
    </row>
    <row r="36">
      <c r="A36" s="14" t="inlineStr">
        <is>
          <t>EMP-009</t>
        </is>
      </c>
      <c r="B36" s="14" t="inlineStr">
        <is>
          <t>Brittany Davis</t>
        </is>
      </c>
      <c r="C36" s="14" t="inlineStr">
        <is>
          <t>Customer Service Rep</t>
        </is>
      </c>
      <c r="D36" s="15" t="n">
        <v>46083</v>
      </c>
      <c r="E36" s="14" t="inlineStr">
        <is>
          <t>Security Awareness (Annual)</t>
        </is>
      </c>
      <c r="F36" s="14" t="inlineStr">
        <is>
          <t>Yes</t>
        </is>
      </c>
      <c r="G36" s="15" t="n">
        <v>46083</v>
      </c>
      <c r="H36" s="15" t="n">
        <v>46085</v>
      </c>
      <c r="I36" s="15" t="n">
        <v>46084</v>
      </c>
      <c r="J36" s="14" t="inlineStr">
        <is>
          <t>78</t>
        </is>
      </c>
      <c r="K36" s="14" t="inlineStr">
        <is>
          <t>Complete</t>
        </is>
      </c>
      <c r="L36" s="14" t="inlineStr">
        <is>
          <t>FSO Staff</t>
        </is>
      </c>
      <c r="M36" s="14" t="inlineStr"/>
    </row>
    <row r="37">
      <c r="A37" s="14" t="inlineStr">
        <is>
          <t>EMP-009</t>
        </is>
      </c>
      <c r="B37" s="14" t="inlineStr">
        <is>
          <t>Brittany Davis</t>
        </is>
      </c>
      <c r="C37" s="14" t="inlineStr">
        <is>
          <t>Customer Service Rep</t>
        </is>
      </c>
      <c r="D37" s="15" t="n">
        <v>46083</v>
      </c>
      <c r="E37" s="14" t="inlineStr">
        <is>
          <t>Privacy Act Training</t>
        </is>
      </c>
      <c r="F37" s="14" t="inlineStr">
        <is>
          <t>Yes</t>
        </is>
      </c>
      <c r="G37" s="15" t="n">
        <v>46083</v>
      </c>
      <c r="H37" s="15" t="n">
        <v>46085</v>
      </c>
      <c r="I37" s="15" t="n">
        <v>46085</v>
      </c>
      <c r="J37" s="14" t="inlineStr">
        <is>
          <t>Pass</t>
        </is>
      </c>
      <c r="K37" s="14" t="inlineStr">
        <is>
          <t>Complete</t>
        </is>
      </c>
      <c r="L37" s="14" t="inlineStr">
        <is>
          <t>FSO Staff</t>
        </is>
      </c>
      <c r="M37" s="14" t="inlineStr"/>
    </row>
    <row r="38">
      <c r="A38" s="16" t="inlineStr">
        <is>
          <t>EMP-009</t>
        </is>
      </c>
      <c r="B38" s="16" t="inlineStr">
        <is>
          <t>Brittany Davis</t>
        </is>
      </c>
      <c r="C38" s="16" t="inlineStr">
        <is>
          <t>Customer Service Rep</t>
        </is>
      </c>
      <c r="D38" s="17" t="n">
        <v>46083</v>
      </c>
      <c r="E38" s="16" t="inlineStr">
        <is>
          <t>CUI Handling</t>
        </is>
      </c>
      <c r="F38" s="16" t="inlineStr">
        <is>
          <t>Yes</t>
        </is>
      </c>
      <c r="G38" s="17" t="n">
        <v>46083</v>
      </c>
      <c r="H38" s="17" t="n">
        <v>46085</v>
      </c>
      <c r="I38" s="17" t="n"/>
      <c r="J38" s="16" t="n"/>
      <c r="K38" s="16" t="inlineStr">
        <is>
          <t>In Progress</t>
        </is>
      </c>
      <c r="L38" s="16" t="inlineStr">
        <is>
          <t>FSO Staff</t>
        </is>
      </c>
      <c r="M38" s="16" t="inlineStr">
        <is>
          <t>Scheduled for completion</t>
        </is>
      </c>
    </row>
    <row r="39">
      <c r="A39" s="4" t="inlineStr">
        <is>
          <t>EMP-009</t>
        </is>
      </c>
      <c r="B39" s="4" t="inlineStr">
        <is>
          <t>Brittany Davis</t>
        </is>
      </c>
      <c r="C39" s="4" t="inlineStr">
        <is>
          <t>Customer Service Rep</t>
        </is>
      </c>
      <c r="D39" s="11" t="n">
        <v>46083</v>
      </c>
      <c r="E39" s="4" t="inlineStr">
        <is>
          <t>System Access Training</t>
        </is>
      </c>
      <c r="F39" s="4" t="inlineStr">
        <is>
          <t>Yes</t>
        </is>
      </c>
      <c r="G39" s="11" t="n">
        <v>46083</v>
      </c>
      <c r="H39" s="11" t="n">
        <v>46086</v>
      </c>
      <c r="I39" s="11" t="n"/>
      <c r="J39" s="4" t="n"/>
      <c r="K39" s="4" t="inlineStr">
        <is>
          <t>Not Started</t>
        </is>
      </c>
      <c r="L39" s="4" t="inlineStr">
        <is>
          <t>IT Team</t>
        </is>
      </c>
      <c r="M39" s="4" t="inlineStr">
        <is>
          <t>Awaiting CUI completion</t>
        </is>
      </c>
    </row>
    <row r="40">
      <c r="A40" s="2" t="inlineStr">
        <is>
          <t>EMP-009</t>
        </is>
      </c>
      <c r="B40" s="2" t="inlineStr">
        <is>
          <t>Brittany Davis</t>
        </is>
      </c>
      <c r="C40" s="2" t="inlineStr">
        <is>
          <t>Customer Service Rep</t>
        </is>
      </c>
      <c r="D40" s="10" t="n">
        <v>46083</v>
      </c>
      <c r="E40" s="2" t="inlineStr">
        <is>
          <t>Position-Specific Training</t>
        </is>
      </c>
      <c r="F40" s="2" t="inlineStr">
        <is>
          <t>Yes</t>
        </is>
      </c>
      <c r="G40" s="10" t="n">
        <v>46083</v>
      </c>
      <c r="H40" s="10" t="n">
        <v>46090</v>
      </c>
      <c r="I40" s="10" t="n"/>
      <c r="J40" s="2" t="n"/>
      <c r="K40" s="2" t="inlineStr">
        <is>
          <t>Not Started</t>
        </is>
      </c>
      <c r="L40" s="2" t="inlineStr">
        <is>
          <t>James Mitchell</t>
        </is>
      </c>
      <c r="M40" s="2" t="inlineStr"/>
    </row>
    <row r="41">
      <c r="A41" s="4" t="inlineStr">
        <is>
          <t>EMP-009</t>
        </is>
      </c>
      <c r="B41" s="4" t="inlineStr">
        <is>
          <t>Brittany Davis</t>
        </is>
      </c>
      <c r="C41" s="4" t="inlineStr">
        <is>
          <t>Customer Service Rep</t>
        </is>
      </c>
      <c r="D41" s="11" t="n">
        <v>46083</v>
      </c>
      <c r="E41" s="4" t="inlineStr">
        <is>
          <t>Call Center Software</t>
        </is>
      </c>
      <c r="F41" s="4" t="inlineStr">
        <is>
          <t>Yes</t>
        </is>
      </c>
      <c r="G41" s="11" t="n">
        <v>46083</v>
      </c>
      <c r="H41" s="11" t="n">
        <v>46090</v>
      </c>
      <c r="I41" s="11" t="n"/>
      <c r="J41" s="4" t="n"/>
      <c r="K41" s="4" t="inlineStr">
        <is>
          <t>Not Started</t>
        </is>
      </c>
      <c r="L41" s="4" t="inlineStr">
        <is>
          <t>Training Team</t>
        </is>
      </c>
      <c r="M41" s="4" t="inlineStr"/>
    </row>
    <row r="42">
      <c r="A42" s="2" t="inlineStr">
        <is>
          <t>EMP-009</t>
        </is>
      </c>
      <c r="B42" s="2" t="inlineStr">
        <is>
          <t>Brittany Davis</t>
        </is>
      </c>
      <c r="C42" s="2" t="inlineStr">
        <is>
          <t>Customer Service Rep</t>
        </is>
      </c>
      <c r="D42" s="10" t="n">
        <v>46083</v>
      </c>
      <c r="E42" s="2" t="inlineStr">
        <is>
          <t>Quality Standards Review</t>
        </is>
      </c>
      <c r="F42" s="2" t="inlineStr">
        <is>
          <t>Yes</t>
        </is>
      </c>
      <c r="G42" s="10" t="n">
        <v>46083</v>
      </c>
      <c r="H42" s="10" t="n">
        <v>46090</v>
      </c>
      <c r="I42" s="10" t="n"/>
      <c r="J42" s="2" t="n"/>
      <c r="K42" s="2" t="inlineStr">
        <is>
          <t>Not Started</t>
        </is>
      </c>
      <c r="L42" s="2" t="inlineStr">
        <is>
          <t>QA Lead</t>
        </is>
      </c>
      <c r="M42" s="2" t="inlineStr"/>
    </row>
    <row r="43">
      <c r="A43" s="14" t="inlineStr">
        <is>
          <t>EMP-009</t>
        </is>
      </c>
      <c r="B43" s="14" t="inlineStr">
        <is>
          <t>Brittany Davis</t>
        </is>
      </c>
      <c r="C43" s="14" t="inlineStr">
        <is>
          <t>Customer Service Rep</t>
        </is>
      </c>
      <c r="D43" s="15" t="n">
        <v>46083</v>
      </c>
      <c r="E43" s="14" t="inlineStr">
        <is>
          <t>Remote Work Policy Review</t>
        </is>
      </c>
      <c r="F43" s="14" t="inlineStr">
        <is>
          <t>Yes</t>
        </is>
      </c>
      <c r="G43" s="15" t="n">
        <v>46083</v>
      </c>
      <c r="H43" s="15" t="n">
        <v>46085</v>
      </c>
      <c r="I43" s="15" t="n">
        <v>46084</v>
      </c>
      <c r="J43" s="14" t="inlineStr">
        <is>
          <t>Pass</t>
        </is>
      </c>
      <c r="K43" s="14" t="inlineStr">
        <is>
          <t>Complete</t>
        </is>
      </c>
      <c r="L43" s="14" t="inlineStr">
        <is>
          <t>HR Team</t>
        </is>
      </c>
      <c r="M43" s="14" t="inlineStr"/>
    </row>
    <row r="44">
      <c r="A44" s="14" t="inlineStr">
        <is>
          <t>EMP-009</t>
        </is>
      </c>
      <c r="B44" s="14" t="inlineStr">
        <is>
          <t>Brittany Davis</t>
        </is>
      </c>
      <c r="C44" s="14" t="inlineStr">
        <is>
          <t>Customer Service Rep</t>
        </is>
      </c>
      <c r="D44" s="15" t="n">
        <v>46083</v>
      </c>
      <c r="E44" s="14" t="inlineStr">
        <is>
          <t>Supervisor Introduction</t>
        </is>
      </c>
      <c r="F44" s="14" t="inlineStr">
        <is>
          <t>Yes</t>
        </is>
      </c>
      <c r="G44" s="15" t="n">
        <v>46083</v>
      </c>
      <c r="H44" s="15" t="n">
        <v>46084</v>
      </c>
      <c r="I44" s="15" t="n">
        <v>46083</v>
      </c>
      <c r="J44" s="14" t="inlineStr">
        <is>
          <t>N/A</t>
        </is>
      </c>
      <c r="K44" s="14" t="inlineStr">
        <is>
          <t>Complete</t>
        </is>
      </c>
      <c r="L44" s="14" t="inlineStr">
        <is>
          <t>James Mitchell</t>
        </is>
      </c>
      <c r="M44" s="14" t="inlineStr"/>
    </row>
    <row r="45">
      <c r="A45" s="14" t="inlineStr">
        <is>
          <t>EMP-009</t>
        </is>
      </c>
      <c r="B45" s="14" t="inlineStr">
        <is>
          <t>Brittany Davis</t>
        </is>
      </c>
      <c r="C45" s="14" t="inlineStr">
        <is>
          <t>Customer Service Rep</t>
        </is>
      </c>
      <c r="D45" s="15" t="n">
        <v>46083</v>
      </c>
      <c r="E45" s="14" t="inlineStr">
        <is>
          <t>First Day Checklist Review</t>
        </is>
      </c>
      <c r="F45" s="14" t="inlineStr">
        <is>
          <t>Yes</t>
        </is>
      </c>
      <c r="G45" s="15" t="n">
        <v>46083</v>
      </c>
      <c r="H45" s="15" t="n">
        <v>46084</v>
      </c>
      <c r="I45" s="15" t="n">
        <v>46083</v>
      </c>
      <c r="J45" s="14" t="inlineStr">
        <is>
          <t>Pass</t>
        </is>
      </c>
      <c r="K45" s="14" t="inlineStr">
        <is>
          <t>Complete</t>
        </is>
      </c>
      <c r="L45" s="14" t="inlineStr">
        <is>
          <t>HR Team</t>
        </is>
      </c>
      <c r="M45" s="14" t="inlineStr"/>
    </row>
    <row r="46">
      <c r="A46" s="14" t="inlineStr">
        <is>
          <t>EMP-010</t>
        </is>
      </c>
      <c r="B46" s="14" t="inlineStr">
        <is>
          <t>James Patel</t>
        </is>
      </c>
      <c r="C46" s="14" t="inlineStr">
        <is>
          <t>Claims Processor</t>
        </is>
      </c>
      <c r="D46" s="15" t="n">
        <v>46083</v>
      </c>
      <c r="E46" s="14" t="inlineStr">
        <is>
          <t>Company Orientation</t>
        </is>
      </c>
      <c r="F46" s="14" t="inlineStr">
        <is>
          <t>Yes</t>
        </is>
      </c>
      <c r="G46" s="15" t="n">
        <v>46083</v>
      </c>
      <c r="H46" s="15" t="n">
        <v>46084</v>
      </c>
      <c r="I46" s="15" t="n">
        <v>46083</v>
      </c>
      <c r="J46" s="14" t="inlineStr">
        <is>
          <t>Pass</t>
        </is>
      </c>
      <c r="K46" s="14" t="inlineStr">
        <is>
          <t>Complete</t>
        </is>
      </c>
      <c r="L46" s="14" t="inlineStr">
        <is>
          <t>HR Team</t>
        </is>
      </c>
      <c r="M46" s="14" t="inlineStr"/>
    </row>
    <row r="47">
      <c r="A47" s="14" t="inlineStr">
        <is>
          <t>EMP-010</t>
        </is>
      </c>
      <c r="B47" s="14" t="inlineStr">
        <is>
          <t>James Patel</t>
        </is>
      </c>
      <c r="C47" s="14" t="inlineStr">
        <is>
          <t>Claims Processor</t>
        </is>
      </c>
      <c r="D47" s="15" t="n">
        <v>46083</v>
      </c>
      <c r="E47" s="14" t="inlineStr">
        <is>
          <t>Security Awareness (Annual)</t>
        </is>
      </c>
      <c r="F47" s="14" t="inlineStr">
        <is>
          <t>Yes</t>
        </is>
      </c>
      <c r="G47" s="15" t="n">
        <v>46083</v>
      </c>
      <c r="H47" s="15" t="n">
        <v>46085</v>
      </c>
      <c r="I47" s="15" t="n">
        <v>46085</v>
      </c>
      <c r="J47" s="14" t="inlineStr">
        <is>
          <t>72</t>
        </is>
      </c>
      <c r="K47" s="14" t="inlineStr">
        <is>
          <t>Complete</t>
        </is>
      </c>
      <c r="L47" s="14" t="inlineStr">
        <is>
          <t>FSO Staff</t>
        </is>
      </c>
      <c r="M47" s="14" t="inlineStr"/>
    </row>
    <row r="48">
      <c r="A48" s="16" t="inlineStr">
        <is>
          <t>EMP-010</t>
        </is>
      </c>
      <c r="B48" s="16" t="inlineStr">
        <is>
          <t>James Patel</t>
        </is>
      </c>
      <c r="C48" s="16" t="inlineStr">
        <is>
          <t>Claims Processor</t>
        </is>
      </c>
      <c r="D48" s="17" t="n">
        <v>46083</v>
      </c>
      <c r="E48" s="16" t="inlineStr">
        <is>
          <t>Privacy Act Training</t>
        </is>
      </c>
      <c r="F48" s="16" t="inlineStr">
        <is>
          <t>Yes</t>
        </is>
      </c>
      <c r="G48" s="17" t="n">
        <v>46083</v>
      </c>
      <c r="H48" s="17" t="n">
        <v>46085</v>
      </c>
      <c r="I48" s="17" t="n"/>
      <c r="J48" s="16" t="n"/>
      <c r="K48" s="16" t="inlineStr">
        <is>
          <t>In Progress</t>
        </is>
      </c>
      <c r="L48" s="16" t="inlineStr">
        <is>
          <t>FSO Staff</t>
        </is>
      </c>
      <c r="M48" s="16" t="inlineStr"/>
    </row>
    <row r="49">
      <c r="A49" s="4" t="inlineStr">
        <is>
          <t>EMP-010</t>
        </is>
      </c>
      <c r="B49" s="4" t="inlineStr">
        <is>
          <t>James Patel</t>
        </is>
      </c>
      <c r="C49" s="4" t="inlineStr">
        <is>
          <t>Claims Processor</t>
        </is>
      </c>
      <c r="D49" s="11" t="n">
        <v>46083</v>
      </c>
      <c r="E49" s="4" t="inlineStr">
        <is>
          <t>CUI Handling</t>
        </is>
      </c>
      <c r="F49" s="4" t="inlineStr">
        <is>
          <t>Yes</t>
        </is>
      </c>
      <c r="G49" s="11" t="n">
        <v>46083</v>
      </c>
      <c r="H49" s="11" t="n">
        <v>46085</v>
      </c>
      <c r="I49" s="11" t="n"/>
      <c r="J49" s="4" t="n"/>
      <c r="K49" s="4" t="inlineStr">
        <is>
          <t>Not Started</t>
        </is>
      </c>
      <c r="L49" s="4" t="inlineStr">
        <is>
          <t>FSO Staff</t>
        </is>
      </c>
      <c r="M49" s="4" t="inlineStr"/>
    </row>
    <row r="50">
      <c r="A50" s="2" t="inlineStr">
        <is>
          <t>EMP-010</t>
        </is>
      </c>
      <c r="B50" s="2" t="inlineStr">
        <is>
          <t>James Patel</t>
        </is>
      </c>
      <c r="C50" s="2" t="inlineStr">
        <is>
          <t>Claims Processor</t>
        </is>
      </c>
      <c r="D50" s="10" t="n">
        <v>46083</v>
      </c>
      <c r="E50" s="2" t="inlineStr">
        <is>
          <t>System Access Training</t>
        </is>
      </c>
      <c r="F50" s="2" t="inlineStr">
        <is>
          <t>Yes</t>
        </is>
      </c>
      <c r="G50" s="10" t="n">
        <v>46083</v>
      </c>
      <c r="H50" s="10" t="n">
        <v>46086</v>
      </c>
      <c r="I50" s="10" t="n"/>
      <c r="J50" s="2" t="n"/>
      <c r="K50" s="2" t="inlineStr">
        <is>
          <t>Not Started</t>
        </is>
      </c>
      <c r="L50" s="2" t="inlineStr">
        <is>
          <t>IT Team</t>
        </is>
      </c>
      <c r="M50" s="2" t="inlineStr"/>
    </row>
    <row r="51">
      <c r="A51" s="4" t="inlineStr">
        <is>
          <t>EMP-010</t>
        </is>
      </c>
      <c r="B51" s="4" t="inlineStr">
        <is>
          <t>James Patel</t>
        </is>
      </c>
      <c r="C51" s="4" t="inlineStr">
        <is>
          <t>Claims Processor</t>
        </is>
      </c>
      <c r="D51" s="11" t="n">
        <v>46083</v>
      </c>
      <c r="E51" s="4" t="inlineStr">
        <is>
          <t>Position-Specific Training</t>
        </is>
      </c>
      <c r="F51" s="4" t="inlineStr">
        <is>
          <t>Yes</t>
        </is>
      </c>
      <c r="G51" s="11" t="n">
        <v>46083</v>
      </c>
      <c r="H51" s="11" t="n">
        <v>46090</v>
      </c>
      <c r="I51" s="11" t="n"/>
      <c r="J51" s="4" t="n"/>
      <c r="K51" s="4" t="inlineStr">
        <is>
          <t>Not Started</t>
        </is>
      </c>
      <c r="L51" s="4" t="inlineStr">
        <is>
          <t>Robert Kim</t>
        </is>
      </c>
      <c r="M51" s="4" t="inlineStr"/>
    </row>
    <row r="52">
      <c r="A52" s="2" t="inlineStr">
        <is>
          <t>EMP-010</t>
        </is>
      </c>
      <c r="B52" s="2" t="inlineStr">
        <is>
          <t>James Patel</t>
        </is>
      </c>
      <c r="C52" s="2" t="inlineStr">
        <is>
          <t>Claims Processor</t>
        </is>
      </c>
      <c r="D52" s="10" t="n">
        <v>46083</v>
      </c>
      <c r="E52" s="2" t="inlineStr">
        <is>
          <t>Call Center Software</t>
        </is>
      </c>
      <c r="F52" s="2" t="inlineStr">
        <is>
          <t>No</t>
        </is>
      </c>
      <c r="G52" s="10" t="n">
        <v>46083</v>
      </c>
      <c r="H52" s="10" t="n">
        <v>46090</v>
      </c>
      <c r="I52" s="10" t="n"/>
      <c r="J52" s="2" t="inlineStr">
        <is>
          <t>N/A</t>
        </is>
      </c>
      <c r="K52" s="2" t="inlineStr">
        <is>
          <t>Not Started</t>
        </is>
      </c>
      <c r="L52" s="2" t="inlineStr">
        <is>
          <t>Training Team</t>
        </is>
      </c>
      <c r="M52" s="2" t="inlineStr">
        <is>
          <t>Not applicable</t>
        </is>
      </c>
    </row>
    <row r="53">
      <c r="A53" s="4" t="inlineStr">
        <is>
          <t>EMP-010</t>
        </is>
      </c>
      <c r="B53" s="4" t="inlineStr">
        <is>
          <t>James Patel</t>
        </is>
      </c>
      <c r="C53" s="4" t="inlineStr">
        <is>
          <t>Claims Processor</t>
        </is>
      </c>
      <c r="D53" s="11" t="n">
        <v>46083</v>
      </c>
      <c r="E53" s="4" t="inlineStr">
        <is>
          <t>Quality Standards Review</t>
        </is>
      </c>
      <c r="F53" s="4" t="inlineStr">
        <is>
          <t>Yes</t>
        </is>
      </c>
      <c r="G53" s="11" t="n">
        <v>46083</v>
      </c>
      <c r="H53" s="11" t="n">
        <v>46090</v>
      </c>
      <c r="I53" s="11" t="n"/>
      <c r="J53" s="4" t="n"/>
      <c r="K53" s="4" t="inlineStr">
        <is>
          <t>Not Started</t>
        </is>
      </c>
      <c r="L53" s="4" t="inlineStr">
        <is>
          <t>QA Lead</t>
        </is>
      </c>
      <c r="M53" s="4" t="inlineStr"/>
    </row>
    <row r="54">
      <c r="A54" s="14" t="inlineStr">
        <is>
          <t>EMP-010</t>
        </is>
      </c>
      <c r="B54" s="14" t="inlineStr">
        <is>
          <t>James Patel</t>
        </is>
      </c>
      <c r="C54" s="14" t="inlineStr">
        <is>
          <t>Claims Processor</t>
        </is>
      </c>
      <c r="D54" s="15" t="n">
        <v>46083</v>
      </c>
      <c r="E54" s="14" t="inlineStr">
        <is>
          <t>Remote Work Policy Review</t>
        </is>
      </c>
      <c r="F54" s="14" t="inlineStr">
        <is>
          <t>Yes</t>
        </is>
      </c>
      <c r="G54" s="15" t="n">
        <v>46083</v>
      </c>
      <c r="H54" s="15" t="n">
        <v>46085</v>
      </c>
      <c r="I54" s="15" t="n">
        <v>46084</v>
      </c>
      <c r="J54" s="14" t="inlineStr">
        <is>
          <t>Pass</t>
        </is>
      </c>
      <c r="K54" s="14" t="inlineStr">
        <is>
          <t>Complete</t>
        </is>
      </c>
      <c r="L54" s="14" t="inlineStr">
        <is>
          <t>HR Team</t>
        </is>
      </c>
      <c r="M54" s="14" t="inlineStr"/>
    </row>
    <row r="55">
      <c r="A55" s="14" t="inlineStr">
        <is>
          <t>EMP-010</t>
        </is>
      </c>
      <c r="B55" s="14" t="inlineStr">
        <is>
          <t>James Patel</t>
        </is>
      </c>
      <c r="C55" s="14" t="inlineStr">
        <is>
          <t>Claims Processor</t>
        </is>
      </c>
      <c r="D55" s="15" t="n">
        <v>46083</v>
      </c>
      <c r="E55" s="14" t="inlineStr">
        <is>
          <t>Supervisor Introduction</t>
        </is>
      </c>
      <c r="F55" s="14" t="inlineStr">
        <is>
          <t>Yes</t>
        </is>
      </c>
      <c r="G55" s="15" t="n">
        <v>46083</v>
      </c>
      <c r="H55" s="15" t="n">
        <v>46084</v>
      </c>
      <c r="I55" s="15" t="n">
        <v>46083</v>
      </c>
      <c r="J55" s="14" t="inlineStr">
        <is>
          <t>N/A</t>
        </is>
      </c>
      <c r="K55" s="14" t="inlineStr">
        <is>
          <t>Complete</t>
        </is>
      </c>
      <c r="L55" s="14" t="inlineStr">
        <is>
          <t>Robert Kim</t>
        </is>
      </c>
      <c r="M55" s="14" t="inlineStr"/>
    </row>
    <row r="56">
      <c r="A56" s="14" t="inlineStr">
        <is>
          <t>EMP-010</t>
        </is>
      </c>
      <c r="B56" s="14" t="inlineStr">
        <is>
          <t>James Patel</t>
        </is>
      </c>
      <c r="C56" s="14" t="inlineStr">
        <is>
          <t>Claims Processor</t>
        </is>
      </c>
      <c r="D56" s="15" t="n">
        <v>46083</v>
      </c>
      <c r="E56" s="14" t="inlineStr">
        <is>
          <t>First Day Checklist Review</t>
        </is>
      </c>
      <c r="F56" s="14" t="inlineStr">
        <is>
          <t>Yes</t>
        </is>
      </c>
      <c r="G56" s="15" t="n">
        <v>46083</v>
      </c>
      <c r="H56" s="15" t="n">
        <v>46084</v>
      </c>
      <c r="I56" s="15" t="n">
        <v>46083</v>
      </c>
      <c r="J56" s="14" t="inlineStr">
        <is>
          <t>Pass</t>
        </is>
      </c>
      <c r="K56" s="14" t="inlineStr">
        <is>
          <t>Complete</t>
        </is>
      </c>
      <c r="L56" s="14" t="inlineStr">
        <is>
          <t>HR Team</t>
        </is>
      </c>
      <c r="M56" s="14" t="inlineStr"/>
    </row>
    <row r="57">
      <c r="A57" s="14" t="inlineStr">
        <is>
          <t>EMP-011</t>
        </is>
      </c>
      <c r="B57" s="14" t="inlineStr">
        <is>
          <t>Stephanie Brooks</t>
        </is>
      </c>
      <c r="C57" s="14" t="inlineStr">
        <is>
          <t>Customer Service Rep</t>
        </is>
      </c>
      <c r="D57" s="15" t="n">
        <v>46090</v>
      </c>
      <c r="E57" s="14" t="inlineStr">
        <is>
          <t>Company Orientation</t>
        </is>
      </c>
      <c r="F57" s="14" t="inlineStr">
        <is>
          <t>Yes</t>
        </is>
      </c>
      <c r="G57" s="15" t="n">
        <v>46090</v>
      </c>
      <c r="H57" s="15" t="n">
        <v>46091</v>
      </c>
      <c r="I57" s="15" t="n">
        <v>46090</v>
      </c>
      <c r="J57" s="14" t="inlineStr">
        <is>
          <t>Pass</t>
        </is>
      </c>
      <c r="K57" s="14" t="inlineStr">
        <is>
          <t>Complete</t>
        </is>
      </c>
      <c r="L57" s="14" t="inlineStr">
        <is>
          <t>HR Team</t>
        </is>
      </c>
      <c r="M57" s="14" t="inlineStr"/>
    </row>
    <row r="58">
      <c r="A58" s="14" t="inlineStr">
        <is>
          <t>EMP-011</t>
        </is>
      </c>
      <c r="B58" s="14" t="inlineStr">
        <is>
          <t>Stephanie Brooks</t>
        </is>
      </c>
      <c r="C58" s="14" t="inlineStr">
        <is>
          <t>Customer Service Rep</t>
        </is>
      </c>
      <c r="D58" s="15" t="n">
        <v>46090</v>
      </c>
      <c r="E58" s="14" t="inlineStr">
        <is>
          <t>Security Awareness (Annual)</t>
        </is>
      </c>
      <c r="F58" s="14" t="inlineStr">
        <is>
          <t>Yes</t>
        </is>
      </c>
      <c r="G58" s="15" t="n">
        <v>46090</v>
      </c>
      <c r="H58" s="15" t="n">
        <v>46092</v>
      </c>
      <c r="I58" s="15" t="n">
        <v>46091</v>
      </c>
      <c r="J58" s="14" t="inlineStr">
        <is>
          <t>85</t>
        </is>
      </c>
      <c r="K58" s="14" t="inlineStr">
        <is>
          <t>Complete</t>
        </is>
      </c>
      <c r="L58" s="14" t="inlineStr">
        <is>
          <t>FSO Staff</t>
        </is>
      </c>
      <c r="M58" s="14" t="inlineStr"/>
    </row>
    <row r="59">
      <c r="A59" s="16" t="inlineStr">
        <is>
          <t>EMP-011</t>
        </is>
      </c>
      <c r="B59" s="16" t="inlineStr">
        <is>
          <t>Stephanie Brooks</t>
        </is>
      </c>
      <c r="C59" s="16" t="inlineStr">
        <is>
          <t>Customer Service Rep</t>
        </is>
      </c>
      <c r="D59" s="17" t="n">
        <v>46090</v>
      </c>
      <c r="E59" s="16" t="inlineStr">
        <is>
          <t>Privacy Act Training</t>
        </is>
      </c>
      <c r="F59" s="16" t="inlineStr">
        <is>
          <t>Yes</t>
        </is>
      </c>
      <c r="G59" s="17" t="n">
        <v>46090</v>
      </c>
      <c r="H59" s="17" t="n">
        <v>46092</v>
      </c>
      <c r="I59" s="17" t="n"/>
      <c r="J59" s="16" t="n"/>
      <c r="K59" s="16" t="inlineStr">
        <is>
          <t>In Progress</t>
        </is>
      </c>
      <c r="L59" s="16" t="inlineStr">
        <is>
          <t>FSO Staff</t>
        </is>
      </c>
      <c r="M59" s="16" t="inlineStr"/>
    </row>
    <row r="60">
      <c r="A60" s="2" t="inlineStr">
        <is>
          <t>EMP-011</t>
        </is>
      </c>
      <c r="B60" s="2" t="inlineStr">
        <is>
          <t>Stephanie Brooks</t>
        </is>
      </c>
      <c r="C60" s="2" t="inlineStr">
        <is>
          <t>Customer Service Rep</t>
        </is>
      </c>
      <c r="D60" s="10" t="n">
        <v>46090</v>
      </c>
      <c r="E60" s="2" t="inlineStr">
        <is>
          <t>CUI Handling</t>
        </is>
      </c>
      <c r="F60" s="2" t="inlineStr">
        <is>
          <t>Yes</t>
        </is>
      </c>
      <c r="G60" s="10" t="n">
        <v>46090</v>
      </c>
      <c r="H60" s="10" t="n">
        <v>46092</v>
      </c>
      <c r="I60" s="10" t="n"/>
      <c r="J60" s="2" t="n"/>
      <c r="K60" s="2" t="inlineStr">
        <is>
          <t>Not Started</t>
        </is>
      </c>
      <c r="L60" s="2" t="inlineStr">
        <is>
          <t>FSO Staff</t>
        </is>
      </c>
      <c r="M60" s="2" t="inlineStr"/>
    </row>
    <row r="61">
      <c r="A61" s="4" t="inlineStr">
        <is>
          <t>EMP-011</t>
        </is>
      </c>
      <c r="B61" s="4" t="inlineStr">
        <is>
          <t>Stephanie Brooks</t>
        </is>
      </c>
      <c r="C61" s="4" t="inlineStr">
        <is>
          <t>Customer Service Rep</t>
        </is>
      </c>
      <c r="D61" s="11" t="n">
        <v>46090</v>
      </c>
      <c r="E61" s="4" t="inlineStr">
        <is>
          <t>System Access Training</t>
        </is>
      </c>
      <c r="F61" s="4" t="inlineStr">
        <is>
          <t>Yes</t>
        </is>
      </c>
      <c r="G61" s="11" t="n">
        <v>46090</v>
      </c>
      <c r="H61" s="11" t="n">
        <v>46093</v>
      </c>
      <c r="I61" s="11" t="n"/>
      <c r="J61" s="4" t="n"/>
      <c r="K61" s="4" t="inlineStr">
        <is>
          <t>Not Started</t>
        </is>
      </c>
      <c r="L61" s="4" t="inlineStr">
        <is>
          <t>IT Team</t>
        </is>
      </c>
      <c r="M61" s="4" t="inlineStr"/>
    </row>
    <row r="62">
      <c r="A62" s="2" t="inlineStr">
        <is>
          <t>EMP-011</t>
        </is>
      </c>
      <c r="B62" s="2" t="inlineStr">
        <is>
          <t>Stephanie Brooks</t>
        </is>
      </c>
      <c r="C62" s="2" t="inlineStr">
        <is>
          <t>Customer Service Rep</t>
        </is>
      </c>
      <c r="D62" s="10" t="n">
        <v>46090</v>
      </c>
      <c r="E62" s="2" t="inlineStr">
        <is>
          <t>Position-Specific Training</t>
        </is>
      </c>
      <c r="F62" s="2" t="inlineStr">
        <is>
          <t>Yes</t>
        </is>
      </c>
      <c r="G62" s="10" t="n">
        <v>46090</v>
      </c>
      <c r="H62" s="10" t="n">
        <v>46097</v>
      </c>
      <c r="I62" s="10" t="n"/>
      <c r="J62" s="2" t="n"/>
      <c r="K62" s="2" t="inlineStr">
        <is>
          <t>Not Started</t>
        </is>
      </c>
      <c r="L62" s="2" t="inlineStr">
        <is>
          <t>James Mitchell</t>
        </is>
      </c>
      <c r="M62" s="2" t="inlineStr"/>
    </row>
    <row r="63">
      <c r="A63" s="4" t="inlineStr">
        <is>
          <t>EMP-011</t>
        </is>
      </c>
      <c r="B63" s="4" t="inlineStr">
        <is>
          <t>Stephanie Brooks</t>
        </is>
      </c>
      <c r="C63" s="4" t="inlineStr">
        <is>
          <t>Customer Service Rep</t>
        </is>
      </c>
      <c r="D63" s="11" t="n">
        <v>46090</v>
      </c>
      <c r="E63" s="4" t="inlineStr">
        <is>
          <t>Call Center Software</t>
        </is>
      </c>
      <c r="F63" s="4" t="inlineStr">
        <is>
          <t>Yes</t>
        </is>
      </c>
      <c r="G63" s="11" t="n">
        <v>46090</v>
      </c>
      <c r="H63" s="11" t="n">
        <v>46097</v>
      </c>
      <c r="I63" s="11" t="n"/>
      <c r="J63" s="4" t="n"/>
      <c r="K63" s="4" t="inlineStr">
        <is>
          <t>Not Started</t>
        </is>
      </c>
      <c r="L63" s="4" t="inlineStr">
        <is>
          <t>Training Team</t>
        </is>
      </c>
      <c r="M63" s="4" t="inlineStr"/>
    </row>
    <row r="64">
      <c r="A64" s="2" t="inlineStr">
        <is>
          <t>EMP-011</t>
        </is>
      </c>
      <c r="B64" s="2" t="inlineStr">
        <is>
          <t>Stephanie Brooks</t>
        </is>
      </c>
      <c r="C64" s="2" t="inlineStr">
        <is>
          <t>Customer Service Rep</t>
        </is>
      </c>
      <c r="D64" s="10" t="n">
        <v>46090</v>
      </c>
      <c r="E64" s="2" t="inlineStr">
        <is>
          <t>Quality Standards Review</t>
        </is>
      </c>
      <c r="F64" s="2" t="inlineStr">
        <is>
          <t>Yes</t>
        </is>
      </c>
      <c r="G64" s="10" t="n">
        <v>46090</v>
      </c>
      <c r="H64" s="10" t="n">
        <v>46097</v>
      </c>
      <c r="I64" s="10" t="n"/>
      <c r="J64" s="2" t="n"/>
      <c r="K64" s="2" t="inlineStr">
        <is>
          <t>Not Started</t>
        </is>
      </c>
      <c r="L64" s="2" t="inlineStr">
        <is>
          <t>QA Lead</t>
        </is>
      </c>
      <c r="M64" s="2" t="inlineStr"/>
    </row>
    <row r="65">
      <c r="A65" s="14" t="inlineStr">
        <is>
          <t>EMP-011</t>
        </is>
      </c>
      <c r="B65" s="14" t="inlineStr">
        <is>
          <t>Stephanie Brooks</t>
        </is>
      </c>
      <c r="C65" s="14" t="inlineStr">
        <is>
          <t>Customer Service Rep</t>
        </is>
      </c>
      <c r="D65" s="15" t="n">
        <v>46090</v>
      </c>
      <c r="E65" s="14" t="inlineStr">
        <is>
          <t>Remote Work Policy Review</t>
        </is>
      </c>
      <c r="F65" s="14" t="inlineStr">
        <is>
          <t>Yes</t>
        </is>
      </c>
      <c r="G65" s="15" t="n">
        <v>46090</v>
      </c>
      <c r="H65" s="15" t="n">
        <v>46092</v>
      </c>
      <c r="I65" s="15" t="n">
        <v>46091</v>
      </c>
      <c r="J65" s="14" t="inlineStr">
        <is>
          <t>Pass</t>
        </is>
      </c>
      <c r="K65" s="14" t="inlineStr">
        <is>
          <t>Complete</t>
        </is>
      </c>
      <c r="L65" s="14" t="inlineStr">
        <is>
          <t>HR Team</t>
        </is>
      </c>
      <c r="M65" s="14" t="inlineStr"/>
    </row>
    <row r="66">
      <c r="A66" s="14" t="inlineStr">
        <is>
          <t>EMP-011</t>
        </is>
      </c>
      <c r="B66" s="14" t="inlineStr">
        <is>
          <t>Stephanie Brooks</t>
        </is>
      </c>
      <c r="C66" s="14" t="inlineStr">
        <is>
          <t>Customer Service Rep</t>
        </is>
      </c>
      <c r="D66" s="15" t="n">
        <v>46090</v>
      </c>
      <c r="E66" s="14" t="inlineStr">
        <is>
          <t>Supervisor Introduction</t>
        </is>
      </c>
      <c r="F66" s="14" t="inlineStr">
        <is>
          <t>Yes</t>
        </is>
      </c>
      <c r="G66" s="15" t="n">
        <v>46090</v>
      </c>
      <c r="H66" s="15" t="n">
        <v>46091</v>
      </c>
      <c r="I66" s="15" t="n">
        <v>46090</v>
      </c>
      <c r="J66" s="14" t="inlineStr">
        <is>
          <t>N/A</t>
        </is>
      </c>
      <c r="K66" s="14" t="inlineStr">
        <is>
          <t>Complete</t>
        </is>
      </c>
      <c r="L66" s="14" t="inlineStr">
        <is>
          <t>James Mitchell</t>
        </is>
      </c>
      <c r="M66" s="14" t="inlineStr"/>
    </row>
    <row r="67">
      <c r="A67" s="14" t="inlineStr">
        <is>
          <t>EMP-011</t>
        </is>
      </c>
      <c r="B67" s="14" t="inlineStr">
        <is>
          <t>Stephanie Brooks</t>
        </is>
      </c>
      <c r="C67" s="14" t="inlineStr">
        <is>
          <t>Customer Service Rep</t>
        </is>
      </c>
      <c r="D67" s="15" t="n">
        <v>46090</v>
      </c>
      <c r="E67" s="14" t="inlineStr">
        <is>
          <t>First Day Checklist Review</t>
        </is>
      </c>
      <c r="F67" s="14" t="inlineStr">
        <is>
          <t>Yes</t>
        </is>
      </c>
      <c r="G67" s="15" t="n">
        <v>46090</v>
      </c>
      <c r="H67" s="15" t="n">
        <v>46091</v>
      </c>
      <c r="I67" s="15" t="n">
        <v>46090</v>
      </c>
      <c r="J67" s="14" t="inlineStr">
        <is>
          <t>Pass</t>
        </is>
      </c>
      <c r="K67" s="14" t="inlineStr">
        <is>
          <t>Complete</t>
        </is>
      </c>
      <c r="L67" s="14" t="inlineStr">
        <is>
          <t>HR Team</t>
        </is>
      </c>
      <c r="M67" s="14" t="inlineStr"/>
    </row>
    <row r="68">
      <c r="A68" s="14" t="inlineStr">
        <is>
          <t>EMP-012</t>
        </is>
      </c>
      <c r="B68" s="14" t="inlineStr">
        <is>
          <t>Andrew Nguyen</t>
        </is>
      </c>
      <c r="C68" s="14" t="inlineStr">
        <is>
          <t>Claims Processor</t>
        </is>
      </c>
      <c r="D68" s="15" t="n">
        <v>46090</v>
      </c>
      <c r="E68" s="14" t="inlineStr">
        <is>
          <t>Company Orientation</t>
        </is>
      </c>
      <c r="F68" s="14" t="inlineStr">
        <is>
          <t>Yes</t>
        </is>
      </c>
      <c r="G68" s="15" t="n">
        <v>46090</v>
      </c>
      <c r="H68" s="15" t="n">
        <v>46091</v>
      </c>
      <c r="I68" s="15" t="n">
        <v>46090</v>
      </c>
      <c r="J68" s="14" t="inlineStr">
        <is>
          <t>Pass</t>
        </is>
      </c>
      <c r="K68" s="14" t="inlineStr">
        <is>
          <t>Complete</t>
        </is>
      </c>
      <c r="L68" s="14" t="inlineStr">
        <is>
          <t>HR Team</t>
        </is>
      </c>
      <c r="M68" s="14" t="inlineStr"/>
    </row>
    <row r="69">
      <c r="A69" s="18" t="inlineStr">
        <is>
          <t>EMP-012</t>
        </is>
      </c>
      <c r="B69" s="18" t="inlineStr">
        <is>
          <t>Andrew Nguyen</t>
        </is>
      </c>
      <c r="C69" s="18" t="inlineStr">
        <is>
          <t>Claims Processor</t>
        </is>
      </c>
      <c r="D69" s="19" t="n">
        <v>46090</v>
      </c>
      <c r="E69" s="18" t="inlineStr">
        <is>
          <t>Security Awareness (Annual)</t>
        </is>
      </c>
      <c r="F69" s="18" t="inlineStr">
        <is>
          <t>Yes</t>
        </is>
      </c>
      <c r="G69" s="19" t="n">
        <v>46090</v>
      </c>
      <c r="H69" s="19" t="n">
        <v>46092</v>
      </c>
      <c r="I69" s="19" t="n"/>
      <c r="J69" s="18" t="n"/>
      <c r="K69" s="18" t="inlineStr">
        <is>
          <t>Overdue</t>
        </is>
      </c>
      <c r="L69" s="18" t="inlineStr">
        <is>
          <t>FSO Staff</t>
        </is>
      </c>
      <c r="M69" s="18" t="inlineStr">
        <is>
          <t>Not yet started</t>
        </is>
      </c>
    </row>
    <row r="70">
      <c r="A70" s="18" t="inlineStr">
        <is>
          <t>EMP-012</t>
        </is>
      </c>
      <c r="B70" s="18" t="inlineStr">
        <is>
          <t>Andrew Nguyen</t>
        </is>
      </c>
      <c r="C70" s="18" t="inlineStr">
        <is>
          <t>Claims Processor</t>
        </is>
      </c>
      <c r="D70" s="19" t="n">
        <v>46090</v>
      </c>
      <c r="E70" s="18" t="inlineStr">
        <is>
          <t>Privacy Act Training</t>
        </is>
      </c>
      <c r="F70" s="18" t="inlineStr">
        <is>
          <t>Yes</t>
        </is>
      </c>
      <c r="G70" s="19" t="n">
        <v>46090</v>
      </c>
      <c r="H70" s="19" t="n">
        <v>46092</v>
      </c>
      <c r="I70" s="19" t="n"/>
      <c r="J70" s="18" t="n"/>
      <c r="K70" s="18" t="inlineStr">
        <is>
          <t>Overdue</t>
        </is>
      </c>
      <c r="L70" s="18" t="inlineStr">
        <is>
          <t>FSO Staff</t>
        </is>
      </c>
      <c r="M70" s="18" t="inlineStr"/>
    </row>
    <row r="71">
      <c r="A71" s="4" t="inlineStr">
        <is>
          <t>EMP-012</t>
        </is>
      </c>
      <c r="B71" s="4" t="inlineStr">
        <is>
          <t>Andrew Nguyen</t>
        </is>
      </c>
      <c r="C71" s="4" t="inlineStr">
        <is>
          <t>Claims Processor</t>
        </is>
      </c>
      <c r="D71" s="11" t="n">
        <v>46090</v>
      </c>
      <c r="E71" s="4" t="inlineStr">
        <is>
          <t>CUI Handling</t>
        </is>
      </c>
      <c r="F71" s="4" t="inlineStr">
        <is>
          <t>Yes</t>
        </is>
      </c>
      <c r="G71" s="11" t="n">
        <v>46090</v>
      </c>
      <c r="H71" s="11" t="n">
        <v>46092</v>
      </c>
      <c r="I71" s="11" t="n"/>
      <c r="J71" s="4" t="n"/>
      <c r="K71" s="4" t="inlineStr">
        <is>
          <t>Not Started</t>
        </is>
      </c>
      <c r="L71" s="4" t="inlineStr">
        <is>
          <t>FSO Staff</t>
        </is>
      </c>
      <c r="M71" s="4" t="inlineStr"/>
    </row>
    <row r="72">
      <c r="A72" s="2" t="inlineStr">
        <is>
          <t>EMP-012</t>
        </is>
      </c>
      <c r="B72" s="2" t="inlineStr">
        <is>
          <t>Andrew Nguyen</t>
        </is>
      </c>
      <c r="C72" s="2" t="inlineStr">
        <is>
          <t>Claims Processor</t>
        </is>
      </c>
      <c r="D72" s="10" t="n">
        <v>46090</v>
      </c>
      <c r="E72" s="2" t="inlineStr">
        <is>
          <t>System Access Training</t>
        </is>
      </c>
      <c r="F72" s="2" t="inlineStr">
        <is>
          <t>Yes</t>
        </is>
      </c>
      <c r="G72" s="10" t="n">
        <v>46090</v>
      </c>
      <c r="H72" s="10" t="n">
        <v>46093</v>
      </c>
      <c r="I72" s="10" t="n"/>
      <c r="J72" s="2" t="n"/>
      <c r="K72" s="2" t="inlineStr">
        <is>
          <t>Not Started</t>
        </is>
      </c>
      <c r="L72" s="2" t="inlineStr">
        <is>
          <t>IT Team</t>
        </is>
      </c>
      <c r="M72" s="2" t="inlineStr"/>
    </row>
    <row r="73">
      <c r="A73" s="4" t="inlineStr">
        <is>
          <t>EMP-012</t>
        </is>
      </c>
      <c r="B73" s="4" t="inlineStr">
        <is>
          <t>Andrew Nguyen</t>
        </is>
      </c>
      <c r="C73" s="4" t="inlineStr">
        <is>
          <t>Claims Processor</t>
        </is>
      </c>
      <c r="D73" s="11" t="n">
        <v>46090</v>
      </c>
      <c r="E73" s="4" t="inlineStr">
        <is>
          <t>Position-Specific Training</t>
        </is>
      </c>
      <c r="F73" s="4" t="inlineStr">
        <is>
          <t>Yes</t>
        </is>
      </c>
      <c r="G73" s="11" t="n">
        <v>46090</v>
      </c>
      <c r="H73" s="11" t="n">
        <v>46097</v>
      </c>
      <c r="I73" s="11" t="n"/>
      <c r="J73" s="4" t="n"/>
      <c r="K73" s="4" t="inlineStr">
        <is>
          <t>Not Started</t>
        </is>
      </c>
      <c r="L73" s="4" t="inlineStr">
        <is>
          <t>Robert Kim</t>
        </is>
      </c>
      <c r="M73" s="4" t="inlineStr"/>
    </row>
    <row r="74">
      <c r="A74" s="2" t="inlineStr">
        <is>
          <t>EMP-012</t>
        </is>
      </c>
      <c r="B74" s="2" t="inlineStr">
        <is>
          <t>Andrew Nguyen</t>
        </is>
      </c>
      <c r="C74" s="2" t="inlineStr">
        <is>
          <t>Claims Processor</t>
        </is>
      </c>
      <c r="D74" s="10" t="n">
        <v>46090</v>
      </c>
      <c r="E74" s="2" t="inlineStr">
        <is>
          <t>Call Center Software</t>
        </is>
      </c>
      <c r="F74" s="2" t="inlineStr">
        <is>
          <t>No</t>
        </is>
      </c>
      <c r="G74" s="10" t="n">
        <v>46090</v>
      </c>
      <c r="H74" s="10" t="n">
        <v>46097</v>
      </c>
      <c r="I74" s="10" t="n"/>
      <c r="J74" s="2" t="inlineStr">
        <is>
          <t>N/A</t>
        </is>
      </c>
      <c r="K74" s="2" t="inlineStr">
        <is>
          <t>Not Started</t>
        </is>
      </c>
      <c r="L74" s="2" t="inlineStr">
        <is>
          <t>Training Team</t>
        </is>
      </c>
      <c r="M74" s="2" t="inlineStr">
        <is>
          <t>Not applicable</t>
        </is>
      </c>
    </row>
    <row r="75">
      <c r="A75" s="4" t="inlineStr">
        <is>
          <t>EMP-012</t>
        </is>
      </c>
      <c r="B75" s="4" t="inlineStr">
        <is>
          <t>Andrew Nguyen</t>
        </is>
      </c>
      <c r="C75" s="4" t="inlineStr">
        <is>
          <t>Claims Processor</t>
        </is>
      </c>
      <c r="D75" s="11" t="n">
        <v>46090</v>
      </c>
      <c r="E75" s="4" t="inlineStr">
        <is>
          <t>Quality Standards Review</t>
        </is>
      </c>
      <c r="F75" s="4" t="inlineStr">
        <is>
          <t>Yes</t>
        </is>
      </c>
      <c r="G75" s="11" t="n">
        <v>46090</v>
      </c>
      <c r="H75" s="11" t="n">
        <v>46097</v>
      </c>
      <c r="I75" s="11" t="n"/>
      <c r="J75" s="4" t="n"/>
      <c r="K75" s="4" t="inlineStr">
        <is>
          <t>Not Started</t>
        </is>
      </c>
      <c r="L75" s="4" t="inlineStr">
        <is>
          <t>QA Lead</t>
        </is>
      </c>
      <c r="M75" s="4" t="inlineStr"/>
    </row>
    <row r="76">
      <c r="A76" s="18" t="inlineStr">
        <is>
          <t>EMP-012</t>
        </is>
      </c>
      <c r="B76" s="18" t="inlineStr">
        <is>
          <t>Andrew Nguyen</t>
        </is>
      </c>
      <c r="C76" s="18" t="inlineStr">
        <is>
          <t>Claims Processor</t>
        </is>
      </c>
      <c r="D76" s="19" t="n">
        <v>46090</v>
      </c>
      <c r="E76" s="18" t="inlineStr">
        <is>
          <t>Remote Work Policy Review</t>
        </is>
      </c>
      <c r="F76" s="18" t="inlineStr">
        <is>
          <t>Yes</t>
        </is>
      </c>
      <c r="G76" s="19" t="n">
        <v>46090</v>
      </c>
      <c r="H76" s="19" t="n">
        <v>46092</v>
      </c>
      <c r="I76" s="19" t="n"/>
      <c r="J76" s="18" t="n"/>
      <c r="K76" s="18" t="inlineStr">
        <is>
          <t>Overdue</t>
        </is>
      </c>
      <c r="L76" s="18" t="inlineStr">
        <is>
          <t>HR Team</t>
        </is>
      </c>
      <c r="M76" s="18" t="inlineStr">
        <is>
          <t>Follow up required</t>
        </is>
      </c>
    </row>
    <row r="77">
      <c r="A77" s="14" t="inlineStr">
        <is>
          <t>EMP-012</t>
        </is>
      </c>
      <c r="B77" s="14" t="inlineStr">
        <is>
          <t>Andrew Nguyen</t>
        </is>
      </c>
      <c r="C77" s="14" t="inlineStr">
        <is>
          <t>Claims Processor</t>
        </is>
      </c>
      <c r="D77" s="15" t="n">
        <v>46090</v>
      </c>
      <c r="E77" s="14" t="inlineStr">
        <is>
          <t>Supervisor Introduction</t>
        </is>
      </c>
      <c r="F77" s="14" t="inlineStr">
        <is>
          <t>Yes</t>
        </is>
      </c>
      <c r="G77" s="15" t="n">
        <v>46090</v>
      </c>
      <c r="H77" s="15" t="n">
        <v>46091</v>
      </c>
      <c r="I77" s="15" t="n">
        <v>46090</v>
      </c>
      <c r="J77" s="14" t="inlineStr">
        <is>
          <t>N/A</t>
        </is>
      </c>
      <c r="K77" s="14" t="inlineStr">
        <is>
          <t>Complete</t>
        </is>
      </c>
      <c r="L77" s="14" t="inlineStr">
        <is>
          <t>Robert Kim</t>
        </is>
      </c>
      <c r="M77" s="14" t="inlineStr"/>
    </row>
    <row r="78">
      <c r="A78" s="14" t="inlineStr">
        <is>
          <t>EMP-012</t>
        </is>
      </c>
      <c r="B78" s="14" t="inlineStr">
        <is>
          <t>Andrew Nguyen</t>
        </is>
      </c>
      <c r="C78" s="14" t="inlineStr">
        <is>
          <t>Claims Processor</t>
        </is>
      </c>
      <c r="D78" s="15" t="n">
        <v>46090</v>
      </c>
      <c r="E78" s="14" t="inlineStr">
        <is>
          <t>First Day Checklist Review</t>
        </is>
      </c>
      <c r="F78" s="14" t="inlineStr">
        <is>
          <t>Yes</t>
        </is>
      </c>
      <c r="G78" s="15" t="n">
        <v>46090</v>
      </c>
      <c r="H78" s="15" t="n">
        <v>46091</v>
      </c>
      <c r="I78" s="15" t="n">
        <v>46090</v>
      </c>
      <c r="J78" s="14" t="inlineStr">
        <is>
          <t>Pass</t>
        </is>
      </c>
      <c r="K78" s="14" t="inlineStr">
        <is>
          <t>Complete</t>
        </is>
      </c>
      <c r="L78" s="14" t="inlineStr">
        <is>
          <t>HR Team</t>
        </is>
      </c>
      <c r="M78" s="14" t="inlineStr"/>
    </row>
    <row r="79">
      <c r="A79" s="14" t="inlineStr">
        <is>
          <t>EMP-015</t>
        </is>
      </c>
      <c r="B79" s="14" t="inlineStr">
        <is>
          <t>Lauren Martinez</t>
        </is>
      </c>
      <c r="C79" s="14" t="inlineStr">
        <is>
          <t>Quality Analyst</t>
        </is>
      </c>
      <c r="D79" s="15" t="n">
        <v>46097</v>
      </c>
      <c r="E79" s="14" t="inlineStr">
        <is>
          <t>Company Orientation</t>
        </is>
      </c>
      <c r="F79" s="14" t="inlineStr">
        <is>
          <t>Yes</t>
        </is>
      </c>
      <c r="G79" s="15" t="n">
        <v>46097</v>
      </c>
      <c r="H79" s="15" t="n">
        <v>46098</v>
      </c>
      <c r="I79" s="15" t="n">
        <v>46097</v>
      </c>
      <c r="J79" s="14" t="inlineStr">
        <is>
          <t>Pass</t>
        </is>
      </c>
      <c r="K79" s="14" t="inlineStr">
        <is>
          <t>Complete</t>
        </is>
      </c>
      <c r="L79" s="14" t="inlineStr">
        <is>
          <t>HR Team</t>
        </is>
      </c>
      <c r="M79" s="14" t="inlineStr"/>
    </row>
    <row r="80">
      <c r="A80" s="16" t="inlineStr">
        <is>
          <t>EMP-015</t>
        </is>
      </c>
      <c r="B80" s="16" t="inlineStr">
        <is>
          <t>Lauren Martinez</t>
        </is>
      </c>
      <c r="C80" s="16" t="inlineStr">
        <is>
          <t>Quality Analyst</t>
        </is>
      </c>
      <c r="D80" s="17" t="n">
        <v>46097</v>
      </c>
      <c r="E80" s="16" t="inlineStr">
        <is>
          <t>Security Awareness (Annual)</t>
        </is>
      </c>
      <c r="F80" s="16" t="inlineStr">
        <is>
          <t>Yes</t>
        </is>
      </c>
      <c r="G80" s="17" t="n">
        <v>46097</v>
      </c>
      <c r="H80" s="17" t="n">
        <v>46099</v>
      </c>
      <c r="I80" s="17" t="n"/>
      <c r="J80" s="16" t="n"/>
      <c r="K80" s="16" t="inlineStr">
        <is>
          <t>In Progress</t>
        </is>
      </c>
      <c r="L80" s="16" t="inlineStr">
        <is>
          <t>FSO Staff</t>
        </is>
      </c>
      <c r="M80" s="16" t="inlineStr"/>
    </row>
    <row r="81">
      <c r="A81" s="4" t="inlineStr">
        <is>
          <t>EMP-015</t>
        </is>
      </c>
      <c r="B81" s="4" t="inlineStr">
        <is>
          <t>Lauren Martinez</t>
        </is>
      </c>
      <c r="C81" s="4" t="inlineStr">
        <is>
          <t>Quality Analyst</t>
        </is>
      </c>
      <c r="D81" s="11" t="n">
        <v>46097</v>
      </c>
      <c r="E81" s="4" t="inlineStr">
        <is>
          <t>Privacy Act Training</t>
        </is>
      </c>
      <c r="F81" s="4" t="inlineStr">
        <is>
          <t>Yes</t>
        </is>
      </c>
      <c r="G81" s="11" t="n">
        <v>46097</v>
      </c>
      <c r="H81" s="11" t="n">
        <v>46099</v>
      </c>
      <c r="I81" s="11" t="n"/>
      <c r="J81" s="4" t="n"/>
      <c r="K81" s="4" t="inlineStr">
        <is>
          <t>Not Started</t>
        </is>
      </c>
      <c r="L81" s="4" t="inlineStr">
        <is>
          <t>FSO Staff</t>
        </is>
      </c>
      <c r="M81" s="4" t="inlineStr"/>
    </row>
    <row r="82">
      <c r="A82" s="2" t="inlineStr">
        <is>
          <t>EMP-015</t>
        </is>
      </c>
      <c r="B82" s="2" t="inlineStr">
        <is>
          <t>Lauren Martinez</t>
        </is>
      </c>
      <c r="C82" s="2" t="inlineStr">
        <is>
          <t>Quality Analyst</t>
        </is>
      </c>
      <c r="D82" s="10" t="n">
        <v>46097</v>
      </c>
      <c r="E82" s="2" t="inlineStr">
        <is>
          <t>CUI Handling</t>
        </is>
      </c>
      <c r="F82" s="2" t="inlineStr">
        <is>
          <t>Yes</t>
        </is>
      </c>
      <c r="G82" s="10" t="n">
        <v>46097</v>
      </c>
      <c r="H82" s="10" t="n">
        <v>46099</v>
      </c>
      <c r="I82" s="10" t="n"/>
      <c r="J82" s="2" t="n"/>
      <c r="K82" s="2" t="inlineStr">
        <is>
          <t>Not Started</t>
        </is>
      </c>
      <c r="L82" s="2" t="inlineStr">
        <is>
          <t>FSO Staff</t>
        </is>
      </c>
      <c r="M82" s="2" t="inlineStr"/>
    </row>
    <row r="83">
      <c r="A83" s="4" t="inlineStr">
        <is>
          <t>EMP-015</t>
        </is>
      </c>
      <c r="B83" s="4" t="inlineStr">
        <is>
          <t>Lauren Martinez</t>
        </is>
      </c>
      <c r="C83" s="4" t="inlineStr">
        <is>
          <t>Quality Analyst</t>
        </is>
      </c>
      <c r="D83" s="11" t="n">
        <v>46097</v>
      </c>
      <c r="E83" s="4" t="inlineStr">
        <is>
          <t>System Access Training</t>
        </is>
      </c>
      <c r="F83" s="4" t="inlineStr">
        <is>
          <t>Yes</t>
        </is>
      </c>
      <c r="G83" s="11" t="n">
        <v>46097</v>
      </c>
      <c r="H83" s="11" t="n">
        <v>46100</v>
      </c>
      <c r="I83" s="11" t="n"/>
      <c r="J83" s="4" t="n"/>
      <c r="K83" s="4" t="inlineStr">
        <is>
          <t>Not Started</t>
        </is>
      </c>
      <c r="L83" s="4" t="inlineStr">
        <is>
          <t>IT Team</t>
        </is>
      </c>
      <c r="M83" s="4" t="inlineStr"/>
    </row>
    <row r="84">
      <c r="A84" s="2" t="inlineStr">
        <is>
          <t>EMP-015</t>
        </is>
      </c>
      <c r="B84" s="2" t="inlineStr">
        <is>
          <t>Lauren Martinez</t>
        </is>
      </c>
      <c r="C84" s="2" t="inlineStr">
        <is>
          <t>Quality Analyst</t>
        </is>
      </c>
      <c r="D84" s="10" t="n">
        <v>46097</v>
      </c>
      <c r="E84" s="2" t="inlineStr">
        <is>
          <t>Position-Specific Training</t>
        </is>
      </c>
      <c r="F84" s="2" t="inlineStr">
        <is>
          <t>Yes</t>
        </is>
      </c>
      <c r="G84" s="10" t="n">
        <v>46097</v>
      </c>
      <c r="H84" s="10" t="n">
        <v>46104</v>
      </c>
      <c r="I84" s="10" t="n"/>
      <c r="J84" s="2" t="n"/>
      <c r="K84" s="2" t="inlineStr">
        <is>
          <t>Not Started</t>
        </is>
      </c>
      <c r="L84" s="2" t="inlineStr">
        <is>
          <t>Patricia Nguyen</t>
        </is>
      </c>
      <c r="M84" s="2" t="inlineStr"/>
    </row>
    <row r="85">
      <c r="A85" s="4" t="inlineStr">
        <is>
          <t>EMP-015</t>
        </is>
      </c>
      <c r="B85" s="4" t="inlineStr">
        <is>
          <t>Lauren Martinez</t>
        </is>
      </c>
      <c r="C85" s="4" t="inlineStr">
        <is>
          <t>Quality Analyst</t>
        </is>
      </c>
      <c r="D85" s="11" t="n">
        <v>46097</v>
      </c>
      <c r="E85" s="4" t="inlineStr">
        <is>
          <t>Call Center Software</t>
        </is>
      </c>
      <c r="F85" s="4" t="inlineStr">
        <is>
          <t>No</t>
        </is>
      </c>
      <c r="G85" s="11" t="n">
        <v>46097</v>
      </c>
      <c r="H85" s="11" t="n">
        <v>46104</v>
      </c>
      <c r="I85" s="11" t="n"/>
      <c r="J85" s="4" t="inlineStr">
        <is>
          <t>N/A</t>
        </is>
      </c>
      <c r="K85" s="4" t="inlineStr">
        <is>
          <t>Not Started</t>
        </is>
      </c>
      <c r="L85" s="4" t="inlineStr">
        <is>
          <t>Training Team</t>
        </is>
      </c>
      <c r="M85" s="4" t="inlineStr">
        <is>
          <t>QA role</t>
        </is>
      </c>
    </row>
    <row r="86">
      <c r="A86" s="2" t="inlineStr">
        <is>
          <t>EMP-015</t>
        </is>
      </c>
      <c r="B86" s="2" t="inlineStr">
        <is>
          <t>Lauren Martinez</t>
        </is>
      </c>
      <c r="C86" s="2" t="inlineStr">
        <is>
          <t>Quality Analyst</t>
        </is>
      </c>
      <c r="D86" s="10" t="n">
        <v>46097</v>
      </c>
      <c r="E86" s="2" t="inlineStr">
        <is>
          <t>Quality Standards Review</t>
        </is>
      </c>
      <c r="F86" s="2" t="inlineStr">
        <is>
          <t>Yes</t>
        </is>
      </c>
      <c r="G86" s="10" t="n">
        <v>46097</v>
      </c>
      <c r="H86" s="10" t="n">
        <v>46104</v>
      </c>
      <c r="I86" s="10" t="n"/>
      <c r="J86" s="2" t="n"/>
      <c r="K86" s="2" t="inlineStr">
        <is>
          <t>Not Started</t>
        </is>
      </c>
      <c r="L86" s="2" t="inlineStr">
        <is>
          <t>QA Lead</t>
        </is>
      </c>
      <c r="M86" s="2" t="inlineStr"/>
    </row>
    <row r="87">
      <c r="A87" s="16" t="inlineStr">
        <is>
          <t>EMP-015</t>
        </is>
      </c>
      <c r="B87" s="16" t="inlineStr">
        <is>
          <t>Lauren Martinez</t>
        </is>
      </c>
      <c r="C87" s="16" t="inlineStr">
        <is>
          <t>Quality Analyst</t>
        </is>
      </c>
      <c r="D87" s="17" t="n">
        <v>46097</v>
      </c>
      <c r="E87" s="16" t="inlineStr">
        <is>
          <t>Remote Work Policy Review</t>
        </is>
      </c>
      <c r="F87" s="16" t="inlineStr">
        <is>
          <t>Yes</t>
        </is>
      </c>
      <c r="G87" s="17" t="n">
        <v>46097</v>
      </c>
      <c r="H87" s="17" t="n">
        <v>46099</v>
      </c>
      <c r="I87" s="17" t="n"/>
      <c r="J87" s="16" t="n"/>
      <c r="K87" s="16" t="inlineStr">
        <is>
          <t>In Progress</t>
        </is>
      </c>
      <c r="L87" s="16" t="inlineStr">
        <is>
          <t>HR Team</t>
        </is>
      </c>
      <c r="M87" s="16" t="inlineStr"/>
    </row>
    <row r="88">
      <c r="A88" s="14" t="inlineStr">
        <is>
          <t>EMP-015</t>
        </is>
      </c>
      <c r="B88" s="14" t="inlineStr">
        <is>
          <t>Lauren Martinez</t>
        </is>
      </c>
      <c r="C88" s="14" t="inlineStr">
        <is>
          <t>Quality Analyst</t>
        </is>
      </c>
      <c r="D88" s="15" t="n">
        <v>46097</v>
      </c>
      <c r="E88" s="14" t="inlineStr">
        <is>
          <t>Supervisor Introduction</t>
        </is>
      </c>
      <c r="F88" s="14" t="inlineStr">
        <is>
          <t>Yes</t>
        </is>
      </c>
      <c r="G88" s="15" t="n">
        <v>46097</v>
      </c>
      <c r="H88" s="15" t="n">
        <v>46098</v>
      </c>
      <c r="I88" s="15" t="n">
        <v>46097</v>
      </c>
      <c r="J88" s="14" t="inlineStr">
        <is>
          <t>N/A</t>
        </is>
      </c>
      <c r="K88" s="14" t="inlineStr">
        <is>
          <t>Complete</t>
        </is>
      </c>
      <c r="L88" s="14" t="inlineStr">
        <is>
          <t>Patricia Nguyen</t>
        </is>
      </c>
      <c r="M88" s="14" t="inlineStr"/>
    </row>
    <row r="89">
      <c r="A89" s="14" t="inlineStr">
        <is>
          <t>EMP-015</t>
        </is>
      </c>
      <c r="B89" s="14" t="inlineStr">
        <is>
          <t>Lauren Martinez</t>
        </is>
      </c>
      <c r="C89" s="14" t="inlineStr">
        <is>
          <t>Quality Analyst</t>
        </is>
      </c>
      <c r="D89" s="15" t="n">
        <v>46097</v>
      </c>
      <c r="E89" s="14" t="inlineStr">
        <is>
          <t>First Day Checklist Review</t>
        </is>
      </c>
      <c r="F89" s="14" t="inlineStr">
        <is>
          <t>Yes</t>
        </is>
      </c>
      <c r="G89" s="15" t="n">
        <v>46097</v>
      </c>
      <c r="H89" s="15" t="n">
        <v>46098</v>
      </c>
      <c r="I89" s="15" t="n">
        <v>46097</v>
      </c>
      <c r="J89" s="14" t="inlineStr">
        <is>
          <t>Pass</t>
        </is>
      </c>
      <c r="K89" s="14" t="inlineStr">
        <is>
          <t>Complete</t>
        </is>
      </c>
      <c r="L89" s="14" t="inlineStr">
        <is>
          <t>HR Team</t>
        </is>
      </c>
      <c r="M89" s="14" t="inlineStr"/>
    </row>
    <row r="90">
      <c r="A90" s="14" t="inlineStr">
        <is>
          <t>EMP-016</t>
        </is>
      </c>
      <c r="B90" s="14" t="inlineStr">
        <is>
          <t>Timothy Foster</t>
        </is>
      </c>
      <c r="C90" s="14" t="inlineStr">
        <is>
          <t>Customer Service Rep</t>
        </is>
      </c>
      <c r="D90" s="15" t="n">
        <v>46097</v>
      </c>
      <c r="E90" s="14" t="inlineStr">
        <is>
          <t>Company Orientation</t>
        </is>
      </c>
      <c r="F90" s="14" t="inlineStr">
        <is>
          <t>Yes</t>
        </is>
      </c>
      <c r="G90" s="15" t="n">
        <v>46097</v>
      </c>
      <c r="H90" s="15" t="n">
        <v>46098</v>
      </c>
      <c r="I90" s="15" t="n">
        <v>46097</v>
      </c>
      <c r="J90" s="14" t="inlineStr">
        <is>
          <t>Pass</t>
        </is>
      </c>
      <c r="K90" s="14" t="inlineStr">
        <is>
          <t>Complete</t>
        </is>
      </c>
      <c r="L90" s="14" t="inlineStr">
        <is>
          <t>HR Team</t>
        </is>
      </c>
      <c r="M90" s="14" t="inlineStr"/>
    </row>
    <row r="91">
      <c r="A91" s="14" t="inlineStr">
        <is>
          <t>EMP-016</t>
        </is>
      </c>
      <c r="B91" s="14" t="inlineStr">
        <is>
          <t>Timothy Foster</t>
        </is>
      </c>
      <c r="C91" s="14" t="inlineStr">
        <is>
          <t>Customer Service Rep</t>
        </is>
      </c>
      <c r="D91" s="15" t="n">
        <v>46097</v>
      </c>
      <c r="E91" s="14" t="inlineStr">
        <is>
          <t>Security Awareness (Annual)</t>
        </is>
      </c>
      <c r="F91" s="14" t="inlineStr">
        <is>
          <t>Yes</t>
        </is>
      </c>
      <c r="G91" s="15" t="n">
        <v>46097</v>
      </c>
      <c r="H91" s="15" t="n">
        <v>46099</v>
      </c>
      <c r="I91" s="15" t="n">
        <v>46098</v>
      </c>
      <c r="J91" s="14" t="inlineStr">
        <is>
          <t>80</t>
        </is>
      </c>
      <c r="K91" s="14" t="inlineStr">
        <is>
          <t>Complete</t>
        </is>
      </c>
      <c r="L91" s="14" t="inlineStr">
        <is>
          <t>FSO Staff</t>
        </is>
      </c>
      <c r="M91" s="14" t="inlineStr"/>
    </row>
    <row r="92">
      <c r="A92" s="14" t="inlineStr">
        <is>
          <t>EMP-016</t>
        </is>
      </c>
      <c r="B92" s="14" t="inlineStr">
        <is>
          <t>Timothy Foster</t>
        </is>
      </c>
      <c r="C92" s="14" t="inlineStr">
        <is>
          <t>Customer Service Rep</t>
        </is>
      </c>
      <c r="D92" s="15" t="n">
        <v>46097</v>
      </c>
      <c r="E92" s="14" t="inlineStr">
        <is>
          <t>Privacy Act Training</t>
        </is>
      </c>
      <c r="F92" s="14" t="inlineStr">
        <is>
          <t>Yes</t>
        </is>
      </c>
      <c r="G92" s="15" t="n">
        <v>46097</v>
      </c>
      <c r="H92" s="15" t="n">
        <v>46099</v>
      </c>
      <c r="I92" s="15" t="n">
        <v>46098</v>
      </c>
      <c r="J92" s="14" t="inlineStr">
        <is>
          <t>Pass</t>
        </is>
      </c>
      <c r="K92" s="14" t="inlineStr">
        <is>
          <t>Complete</t>
        </is>
      </c>
      <c r="L92" s="14" t="inlineStr">
        <is>
          <t>FSO Staff</t>
        </is>
      </c>
      <c r="M92" s="14" t="inlineStr"/>
    </row>
    <row r="93">
      <c r="A93" s="14" t="inlineStr">
        <is>
          <t>EMP-016</t>
        </is>
      </c>
      <c r="B93" s="14" t="inlineStr">
        <is>
          <t>Timothy Foster</t>
        </is>
      </c>
      <c r="C93" s="14" t="inlineStr">
        <is>
          <t>Customer Service Rep</t>
        </is>
      </c>
      <c r="D93" s="15" t="n">
        <v>46097</v>
      </c>
      <c r="E93" s="14" t="inlineStr">
        <is>
          <t>CUI Handling</t>
        </is>
      </c>
      <c r="F93" s="14" t="inlineStr">
        <is>
          <t>Yes</t>
        </is>
      </c>
      <c r="G93" s="15" t="n">
        <v>46097</v>
      </c>
      <c r="H93" s="15" t="n">
        <v>46099</v>
      </c>
      <c r="I93" s="15" t="n">
        <v>46099</v>
      </c>
      <c r="J93" s="14" t="inlineStr">
        <is>
          <t>76</t>
        </is>
      </c>
      <c r="K93" s="14" t="inlineStr">
        <is>
          <t>Complete</t>
        </is>
      </c>
      <c r="L93" s="14" t="inlineStr">
        <is>
          <t>FSO Staff</t>
        </is>
      </c>
      <c r="M93" s="14" t="inlineStr"/>
    </row>
    <row r="94">
      <c r="A94" s="14" t="inlineStr">
        <is>
          <t>EMP-016</t>
        </is>
      </c>
      <c r="B94" s="14" t="inlineStr">
        <is>
          <t>Timothy Foster</t>
        </is>
      </c>
      <c r="C94" s="14" t="inlineStr">
        <is>
          <t>Customer Service Rep</t>
        </is>
      </c>
      <c r="D94" s="15" t="n">
        <v>46097</v>
      </c>
      <c r="E94" s="14" t="inlineStr">
        <is>
          <t>System Access Training</t>
        </is>
      </c>
      <c r="F94" s="14" t="inlineStr">
        <is>
          <t>Yes</t>
        </is>
      </c>
      <c r="G94" s="15" t="n">
        <v>46097</v>
      </c>
      <c r="H94" s="15" t="n">
        <v>46100</v>
      </c>
      <c r="I94" s="15" t="n">
        <v>46100</v>
      </c>
      <c r="J94" s="14" t="inlineStr">
        <is>
          <t>Pass</t>
        </is>
      </c>
      <c r="K94" s="14" t="inlineStr">
        <is>
          <t>Complete</t>
        </is>
      </c>
      <c r="L94" s="14" t="inlineStr">
        <is>
          <t>IT Team</t>
        </is>
      </c>
      <c r="M94" s="14" t="inlineStr"/>
    </row>
    <row r="95">
      <c r="A95" s="14" t="inlineStr">
        <is>
          <t>EMP-016</t>
        </is>
      </c>
      <c r="B95" s="14" t="inlineStr">
        <is>
          <t>Timothy Foster</t>
        </is>
      </c>
      <c r="C95" s="14" t="inlineStr">
        <is>
          <t>Customer Service Rep</t>
        </is>
      </c>
      <c r="D95" s="15" t="n">
        <v>46097</v>
      </c>
      <c r="E95" s="14" t="inlineStr">
        <is>
          <t>Position-Specific Training</t>
        </is>
      </c>
      <c r="F95" s="14" t="inlineStr">
        <is>
          <t>Yes</t>
        </is>
      </c>
      <c r="G95" s="15" t="n">
        <v>46097</v>
      </c>
      <c r="H95" s="15" t="n">
        <v>46104</v>
      </c>
      <c r="I95" s="15" t="n">
        <v>46103</v>
      </c>
      <c r="J95" s="14" t="inlineStr">
        <is>
          <t>81</t>
        </is>
      </c>
      <c r="K95" s="14" t="inlineStr">
        <is>
          <t>Complete</t>
        </is>
      </c>
      <c r="L95" s="14" t="inlineStr">
        <is>
          <t>James Mitchell</t>
        </is>
      </c>
      <c r="M95" s="14" t="inlineStr"/>
    </row>
    <row r="96">
      <c r="A96" s="14" t="inlineStr">
        <is>
          <t>EMP-016</t>
        </is>
      </c>
      <c r="B96" s="14" t="inlineStr">
        <is>
          <t>Timothy Foster</t>
        </is>
      </c>
      <c r="C96" s="14" t="inlineStr">
        <is>
          <t>Customer Service Rep</t>
        </is>
      </c>
      <c r="D96" s="15" t="n">
        <v>46097</v>
      </c>
      <c r="E96" s="14" t="inlineStr">
        <is>
          <t>Call Center Software</t>
        </is>
      </c>
      <c r="F96" s="14" t="inlineStr">
        <is>
          <t>Yes</t>
        </is>
      </c>
      <c r="G96" s="15" t="n">
        <v>46097</v>
      </c>
      <c r="H96" s="15" t="n">
        <v>46104</v>
      </c>
      <c r="I96" s="15" t="n">
        <v>46103</v>
      </c>
      <c r="J96" s="14" t="inlineStr">
        <is>
          <t>78</t>
        </is>
      </c>
      <c r="K96" s="14" t="inlineStr">
        <is>
          <t>Complete</t>
        </is>
      </c>
      <c r="L96" s="14" t="inlineStr">
        <is>
          <t>Training Team</t>
        </is>
      </c>
      <c r="M96" s="14" t="inlineStr"/>
    </row>
    <row r="97">
      <c r="A97" s="14" t="inlineStr">
        <is>
          <t>EMP-016</t>
        </is>
      </c>
      <c r="B97" s="14" t="inlineStr">
        <is>
          <t>Timothy Foster</t>
        </is>
      </c>
      <c r="C97" s="14" t="inlineStr">
        <is>
          <t>Customer Service Rep</t>
        </is>
      </c>
      <c r="D97" s="15" t="n">
        <v>46097</v>
      </c>
      <c r="E97" s="14" t="inlineStr">
        <is>
          <t>Quality Standards Review</t>
        </is>
      </c>
      <c r="F97" s="14" t="inlineStr">
        <is>
          <t>Yes</t>
        </is>
      </c>
      <c r="G97" s="15" t="n">
        <v>46097</v>
      </c>
      <c r="H97" s="15" t="n">
        <v>46104</v>
      </c>
      <c r="I97" s="15" t="n">
        <v>46104</v>
      </c>
      <c r="J97" s="14" t="inlineStr">
        <is>
          <t>Pass</t>
        </is>
      </c>
      <c r="K97" s="14" t="inlineStr">
        <is>
          <t>Complete</t>
        </is>
      </c>
      <c r="L97" s="14" t="inlineStr">
        <is>
          <t>QA Lead</t>
        </is>
      </c>
      <c r="M97" s="14" t="inlineStr"/>
    </row>
    <row r="98">
      <c r="A98" s="14" t="inlineStr">
        <is>
          <t>EMP-016</t>
        </is>
      </c>
      <c r="B98" s="14" t="inlineStr">
        <is>
          <t>Timothy Foster</t>
        </is>
      </c>
      <c r="C98" s="14" t="inlineStr">
        <is>
          <t>Customer Service Rep</t>
        </is>
      </c>
      <c r="D98" s="15" t="n">
        <v>46097</v>
      </c>
      <c r="E98" s="14" t="inlineStr">
        <is>
          <t>Remote Work Policy Review</t>
        </is>
      </c>
      <c r="F98" s="14" t="inlineStr">
        <is>
          <t>Yes</t>
        </is>
      </c>
      <c r="G98" s="15" t="n">
        <v>46097</v>
      </c>
      <c r="H98" s="15" t="n">
        <v>46099</v>
      </c>
      <c r="I98" s="15" t="n">
        <v>46098</v>
      </c>
      <c r="J98" s="14" t="inlineStr">
        <is>
          <t>Pass</t>
        </is>
      </c>
      <c r="K98" s="14" t="inlineStr">
        <is>
          <t>Complete</t>
        </is>
      </c>
      <c r="L98" s="14" t="inlineStr">
        <is>
          <t>HR Team</t>
        </is>
      </c>
      <c r="M98" s="14" t="inlineStr"/>
    </row>
    <row r="99">
      <c r="A99" s="14" t="inlineStr">
        <is>
          <t>EMP-016</t>
        </is>
      </c>
      <c r="B99" s="14" t="inlineStr">
        <is>
          <t>Timothy Foster</t>
        </is>
      </c>
      <c r="C99" s="14" t="inlineStr">
        <is>
          <t>Customer Service Rep</t>
        </is>
      </c>
      <c r="D99" s="15" t="n">
        <v>46097</v>
      </c>
      <c r="E99" s="14" t="inlineStr">
        <is>
          <t>Supervisor Introduction</t>
        </is>
      </c>
      <c r="F99" s="14" t="inlineStr">
        <is>
          <t>Yes</t>
        </is>
      </c>
      <c r="G99" s="15" t="n">
        <v>46097</v>
      </c>
      <c r="H99" s="15" t="n">
        <v>46098</v>
      </c>
      <c r="I99" s="15" t="n">
        <v>46097</v>
      </c>
      <c r="J99" s="14" t="inlineStr">
        <is>
          <t>N/A</t>
        </is>
      </c>
      <c r="K99" s="14" t="inlineStr">
        <is>
          <t>Complete</t>
        </is>
      </c>
      <c r="L99" s="14" t="inlineStr">
        <is>
          <t>James Mitchell</t>
        </is>
      </c>
      <c r="M99" s="14" t="inlineStr"/>
    </row>
    <row r="100">
      <c r="A100" s="14" t="inlineStr">
        <is>
          <t>EMP-016</t>
        </is>
      </c>
      <c r="B100" s="14" t="inlineStr">
        <is>
          <t>Timothy Foster</t>
        </is>
      </c>
      <c r="C100" s="14" t="inlineStr">
        <is>
          <t>Customer Service Rep</t>
        </is>
      </c>
      <c r="D100" s="15" t="n">
        <v>46097</v>
      </c>
      <c r="E100" s="14" t="inlineStr">
        <is>
          <t>First Day Checklist Review</t>
        </is>
      </c>
      <c r="F100" s="14" t="inlineStr">
        <is>
          <t>Yes</t>
        </is>
      </c>
      <c r="G100" s="15" t="n">
        <v>46097</v>
      </c>
      <c r="H100" s="15" t="n">
        <v>46098</v>
      </c>
      <c r="I100" s="15" t="n">
        <v>46097</v>
      </c>
      <c r="J100" s="14" t="inlineStr">
        <is>
          <t>Pass</t>
        </is>
      </c>
      <c r="K100" s="14" t="inlineStr">
        <is>
          <t>Complete</t>
        </is>
      </c>
      <c r="L100" s="14" t="inlineStr">
        <is>
          <t>HR Team</t>
        </is>
      </c>
      <c r="M100" s="14" t="inlineStr"/>
    </row>
    <row r="101">
      <c r="A101" s="18" t="inlineStr">
        <is>
          <t>EMP-019</t>
        </is>
      </c>
      <c r="B101" s="18" t="inlineStr">
        <is>
          <t>Amanda Taylor</t>
        </is>
      </c>
      <c r="C101" s="18" t="inlineStr">
        <is>
          <t>Customer Service Rep</t>
        </is>
      </c>
      <c r="D101" s="19" t="n">
        <v>46118</v>
      </c>
      <c r="E101" s="18" t="inlineStr">
        <is>
          <t>Company Orientation</t>
        </is>
      </c>
      <c r="F101" s="18" t="inlineStr">
        <is>
          <t>Yes</t>
        </is>
      </c>
      <c r="G101" s="19" t="n">
        <v>46118</v>
      </c>
      <c r="H101" s="19" t="n">
        <v>46119</v>
      </c>
      <c r="I101" s="19" t="n"/>
      <c r="J101" s="18" t="n"/>
      <c r="K101" s="18" t="inlineStr">
        <is>
          <t>Overdue</t>
        </is>
      </c>
      <c r="L101" s="18" t="inlineStr">
        <is>
          <t>HR Team</t>
        </is>
      </c>
      <c r="M101" s="18" t="inlineStr">
        <is>
          <t>Equipment not yet received</t>
        </is>
      </c>
    </row>
    <row r="102">
      <c r="A102" s="2" t="inlineStr">
        <is>
          <t>EMP-019</t>
        </is>
      </c>
      <c r="B102" s="2" t="inlineStr">
        <is>
          <t>Amanda Taylor</t>
        </is>
      </c>
      <c r="C102" s="2" t="inlineStr">
        <is>
          <t>Customer Service Rep</t>
        </is>
      </c>
      <c r="D102" s="10" t="n">
        <v>46118</v>
      </c>
      <c r="E102" s="2" t="inlineStr">
        <is>
          <t>Security Awareness (Annual)</t>
        </is>
      </c>
      <c r="F102" s="2" t="inlineStr">
        <is>
          <t>Yes</t>
        </is>
      </c>
      <c r="G102" s="10" t="n">
        <v>46118</v>
      </c>
      <c r="H102" s="10" t="n">
        <v>46120</v>
      </c>
      <c r="I102" s="10" t="n"/>
      <c r="J102" s="2" t="n"/>
      <c r="K102" s="2" t="inlineStr">
        <is>
          <t>Not Started</t>
        </is>
      </c>
      <c r="L102" s="2" t="inlineStr">
        <is>
          <t>FSO Staff</t>
        </is>
      </c>
      <c r="M102" s="2" t="inlineStr"/>
    </row>
    <row r="103">
      <c r="A103" s="4" t="inlineStr">
        <is>
          <t>EMP-019</t>
        </is>
      </c>
      <c r="B103" s="4" t="inlineStr">
        <is>
          <t>Amanda Taylor</t>
        </is>
      </c>
      <c r="C103" s="4" t="inlineStr">
        <is>
          <t>Customer Service Rep</t>
        </is>
      </c>
      <c r="D103" s="11" t="n">
        <v>46118</v>
      </c>
      <c r="E103" s="4" t="inlineStr">
        <is>
          <t>Privacy Act Training</t>
        </is>
      </c>
      <c r="F103" s="4" t="inlineStr">
        <is>
          <t>Yes</t>
        </is>
      </c>
      <c r="G103" s="11" t="n">
        <v>46118</v>
      </c>
      <c r="H103" s="11" t="n">
        <v>46120</v>
      </c>
      <c r="I103" s="11" t="n"/>
      <c r="J103" s="4" t="n"/>
      <c r="K103" s="4" t="inlineStr">
        <is>
          <t>Not Started</t>
        </is>
      </c>
      <c r="L103" s="4" t="inlineStr">
        <is>
          <t>FSO Staff</t>
        </is>
      </c>
      <c r="M103" s="4" t="inlineStr"/>
    </row>
    <row r="104">
      <c r="A104" s="2" t="inlineStr">
        <is>
          <t>EMP-019</t>
        </is>
      </c>
      <c r="B104" s="2" t="inlineStr">
        <is>
          <t>Amanda Taylor</t>
        </is>
      </c>
      <c r="C104" s="2" t="inlineStr">
        <is>
          <t>Customer Service Rep</t>
        </is>
      </c>
      <c r="D104" s="10" t="n">
        <v>46118</v>
      </c>
      <c r="E104" s="2" t="inlineStr">
        <is>
          <t>CUI Handling</t>
        </is>
      </c>
      <c r="F104" s="2" t="inlineStr">
        <is>
          <t>Yes</t>
        </is>
      </c>
      <c r="G104" s="10" t="n">
        <v>46118</v>
      </c>
      <c r="H104" s="10" t="n">
        <v>46120</v>
      </c>
      <c r="I104" s="10" t="n"/>
      <c r="J104" s="2" t="n"/>
      <c r="K104" s="2" t="inlineStr">
        <is>
          <t>Not Started</t>
        </is>
      </c>
      <c r="L104" s="2" t="inlineStr">
        <is>
          <t>FSO Staff</t>
        </is>
      </c>
      <c r="M104" s="2" t="inlineStr"/>
    </row>
    <row r="105">
      <c r="A105" s="4" t="inlineStr">
        <is>
          <t>EMP-019</t>
        </is>
      </c>
      <c r="B105" s="4" t="inlineStr">
        <is>
          <t>Amanda Taylor</t>
        </is>
      </c>
      <c r="C105" s="4" t="inlineStr">
        <is>
          <t>Customer Service Rep</t>
        </is>
      </c>
      <c r="D105" s="11" t="n">
        <v>46118</v>
      </c>
      <c r="E105" s="4" t="inlineStr">
        <is>
          <t>System Access Training</t>
        </is>
      </c>
      <c r="F105" s="4" t="inlineStr">
        <is>
          <t>Yes</t>
        </is>
      </c>
      <c r="G105" s="11" t="n">
        <v>46118</v>
      </c>
      <c r="H105" s="11" t="n">
        <v>46121</v>
      </c>
      <c r="I105" s="11" t="n"/>
      <c r="J105" s="4" t="n"/>
      <c r="K105" s="4" t="inlineStr">
        <is>
          <t>Not Started</t>
        </is>
      </c>
      <c r="L105" s="4" t="inlineStr">
        <is>
          <t>IT Team</t>
        </is>
      </c>
      <c r="M105" s="4" t="inlineStr"/>
    </row>
    <row r="106">
      <c r="A106" s="2" t="inlineStr">
        <is>
          <t>EMP-019</t>
        </is>
      </c>
      <c r="B106" s="2" t="inlineStr">
        <is>
          <t>Amanda Taylor</t>
        </is>
      </c>
      <c r="C106" s="2" t="inlineStr">
        <is>
          <t>Customer Service Rep</t>
        </is>
      </c>
      <c r="D106" s="10" t="n">
        <v>46118</v>
      </c>
      <c r="E106" s="2" t="inlineStr">
        <is>
          <t>Position-Specific Training</t>
        </is>
      </c>
      <c r="F106" s="2" t="inlineStr">
        <is>
          <t>Yes</t>
        </is>
      </c>
      <c r="G106" s="10" t="n">
        <v>46118</v>
      </c>
      <c r="H106" s="10" t="n">
        <v>46125</v>
      </c>
      <c r="I106" s="10" t="n"/>
      <c r="J106" s="2" t="n"/>
      <c r="K106" s="2" t="inlineStr">
        <is>
          <t>Not Started</t>
        </is>
      </c>
      <c r="L106" s="2" t="inlineStr">
        <is>
          <t>James Mitchell</t>
        </is>
      </c>
      <c r="M106" s="2" t="inlineStr"/>
    </row>
    <row r="107">
      <c r="A107" s="4" t="inlineStr">
        <is>
          <t>EMP-019</t>
        </is>
      </c>
      <c r="B107" s="4" t="inlineStr">
        <is>
          <t>Amanda Taylor</t>
        </is>
      </c>
      <c r="C107" s="4" t="inlineStr">
        <is>
          <t>Customer Service Rep</t>
        </is>
      </c>
      <c r="D107" s="11" t="n">
        <v>46118</v>
      </c>
      <c r="E107" s="4" t="inlineStr">
        <is>
          <t>Call Center Software</t>
        </is>
      </c>
      <c r="F107" s="4" t="inlineStr">
        <is>
          <t>Yes</t>
        </is>
      </c>
      <c r="G107" s="11" t="n">
        <v>46118</v>
      </c>
      <c r="H107" s="11" t="n">
        <v>46125</v>
      </c>
      <c r="I107" s="11" t="n"/>
      <c r="J107" s="4" t="n"/>
      <c r="K107" s="4" t="inlineStr">
        <is>
          <t>Not Started</t>
        </is>
      </c>
      <c r="L107" s="4" t="inlineStr">
        <is>
          <t>Training Team</t>
        </is>
      </c>
      <c r="M107" s="4" t="inlineStr"/>
    </row>
    <row r="108">
      <c r="A108" s="2" t="inlineStr">
        <is>
          <t>EMP-019</t>
        </is>
      </c>
      <c r="B108" s="2" t="inlineStr">
        <is>
          <t>Amanda Taylor</t>
        </is>
      </c>
      <c r="C108" s="2" t="inlineStr">
        <is>
          <t>Customer Service Rep</t>
        </is>
      </c>
      <c r="D108" s="10" t="n">
        <v>46118</v>
      </c>
      <c r="E108" s="2" t="inlineStr">
        <is>
          <t>Quality Standards Review</t>
        </is>
      </c>
      <c r="F108" s="2" t="inlineStr">
        <is>
          <t>Yes</t>
        </is>
      </c>
      <c r="G108" s="10" t="n">
        <v>46118</v>
      </c>
      <c r="H108" s="10" t="n">
        <v>46125</v>
      </c>
      <c r="I108" s="10" t="n"/>
      <c r="J108" s="2" t="n"/>
      <c r="K108" s="2" t="inlineStr">
        <is>
          <t>Not Started</t>
        </is>
      </c>
      <c r="L108" s="2" t="inlineStr">
        <is>
          <t>QA Lead</t>
        </is>
      </c>
      <c r="M108" s="2" t="inlineStr"/>
    </row>
    <row r="109">
      <c r="A109" s="4" t="inlineStr">
        <is>
          <t>EMP-019</t>
        </is>
      </c>
      <c r="B109" s="4" t="inlineStr">
        <is>
          <t>Amanda Taylor</t>
        </is>
      </c>
      <c r="C109" s="4" t="inlineStr">
        <is>
          <t>Customer Service Rep</t>
        </is>
      </c>
      <c r="D109" s="11" t="n">
        <v>46118</v>
      </c>
      <c r="E109" s="4" t="inlineStr">
        <is>
          <t>Remote Work Policy Review</t>
        </is>
      </c>
      <c r="F109" s="4" t="inlineStr">
        <is>
          <t>Yes</t>
        </is>
      </c>
      <c r="G109" s="11" t="n">
        <v>46118</v>
      </c>
      <c r="H109" s="11" t="n">
        <v>46120</v>
      </c>
      <c r="I109" s="11" t="n"/>
      <c r="J109" s="4" t="n"/>
      <c r="K109" s="4" t="inlineStr">
        <is>
          <t>Not Started</t>
        </is>
      </c>
      <c r="L109" s="4" t="inlineStr">
        <is>
          <t>HR Team</t>
        </is>
      </c>
      <c r="M109" s="4" t="inlineStr"/>
    </row>
    <row r="110">
      <c r="A110" s="18" t="inlineStr">
        <is>
          <t>EMP-019</t>
        </is>
      </c>
      <c r="B110" s="18" t="inlineStr">
        <is>
          <t>Amanda Taylor</t>
        </is>
      </c>
      <c r="C110" s="18" t="inlineStr">
        <is>
          <t>Customer Service Rep</t>
        </is>
      </c>
      <c r="D110" s="19" t="n">
        <v>46118</v>
      </c>
      <c r="E110" s="18" t="inlineStr">
        <is>
          <t>Supervisor Introduction</t>
        </is>
      </c>
      <c r="F110" s="18" t="inlineStr">
        <is>
          <t>Yes</t>
        </is>
      </c>
      <c r="G110" s="19" t="n">
        <v>46118</v>
      </c>
      <c r="H110" s="19" t="n">
        <v>46119</v>
      </c>
      <c r="I110" s="19" t="n"/>
      <c r="J110" s="18" t="n"/>
      <c r="K110" s="18" t="inlineStr">
        <is>
          <t>Overdue</t>
        </is>
      </c>
      <c r="L110" s="18" t="inlineStr">
        <is>
          <t>James Mitchell</t>
        </is>
      </c>
      <c r="M110" s="18" t="inlineStr">
        <is>
          <t>Pending equipment</t>
        </is>
      </c>
    </row>
    <row r="111">
      <c r="A111" s="18" t="inlineStr">
        <is>
          <t>EMP-019</t>
        </is>
      </c>
      <c r="B111" s="18" t="inlineStr">
        <is>
          <t>Amanda Taylor</t>
        </is>
      </c>
      <c r="C111" s="18" t="inlineStr">
        <is>
          <t>Customer Service Rep</t>
        </is>
      </c>
      <c r="D111" s="19" t="n">
        <v>46118</v>
      </c>
      <c r="E111" s="18" t="inlineStr">
        <is>
          <t>First Day Checklist Review</t>
        </is>
      </c>
      <c r="F111" s="18" t="inlineStr">
        <is>
          <t>Yes</t>
        </is>
      </c>
      <c r="G111" s="19" t="n">
        <v>46118</v>
      </c>
      <c r="H111" s="19" t="n">
        <v>46119</v>
      </c>
      <c r="I111" s="19" t="n"/>
      <c r="J111" s="18" t="n"/>
      <c r="K111" s="18" t="inlineStr">
        <is>
          <t>Overdue</t>
        </is>
      </c>
      <c r="L111" s="18" t="inlineStr">
        <is>
          <t>HR Team</t>
        </is>
      </c>
      <c r="M111" s="18" t="inlineStr"/>
    </row>
  </sheetData>
  <dataValidations count="2">
    <dataValidation sqref="F2:F111" showDropDown="0" showInputMessage="0" showErrorMessage="0" allowBlank="1" type="list">
      <formula1>"Yes,No"</formula1>
    </dataValidation>
    <dataValidation sqref="K2:K111" showDropDown="0" showInputMessage="0" showErrorMessage="0" allowBlank="1" type="list">
      <formula1>"Not Started,In Progress,Complete,Overdue"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4" customWidth="1" min="4" max="4"/>
    <col width="14" customWidth="1" min="5" max="5"/>
    <col width="12" customWidth="1" min="6" max="6"/>
    <col width="16" customWidth="1" min="7" max="7"/>
    <col width="8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  <col width="20" customWidth="1" min="14" max="14"/>
    <col width="0.5" customWidth="1" min="15" max="15"/>
  </cols>
  <sheetData>
    <row r="1">
      <c r="A1" s="1" t="inlineStr">
        <is>
          <t>Date</t>
        </is>
      </c>
      <c r="B1" s="1" t="inlineStr">
        <is>
          <t>Position Title</t>
        </is>
      </c>
      <c r="C1" s="1" t="inlineStr">
        <is>
          <t>Labor Category</t>
        </is>
      </c>
      <c r="D1" s="1" t="inlineStr">
        <is>
          <t>Contract Authorized</t>
        </is>
      </c>
      <c r="E1" s="1" t="inlineStr">
        <is>
          <t>Currently Filled</t>
        </is>
      </c>
      <c r="F1" s="1" t="inlineStr">
        <is>
          <t>In Pipeline</t>
        </is>
      </c>
      <c r="G1" s="1" t="inlineStr">
        <is>
          <t>Projected Fill Date</t>
        </is>
      </c>
      <c r="H1" s="1" t="inlineStr">
        <is>
          <t>Gap</t>
        </is>
      </c>
      <c r="I1" s="1" t="inlineStr">
        <is>
          <t>Fill Rate %</t>
        </is>
      </c>
      <c r="J1" s="1" t="inlineStr">
        <is>
          <t>Weekly Change (+/-)</t>
        </is>
      </c>
      <c r="K1" s="1" t="inlineStr">
        <is>
          <t>Equipment Ready</t>
        </is>
      </c>
      <c r="L1" s="1" t="inlineStr">
        <is>
          <t>Remote Verified</t>
        </is>
      </c>
      <c r="M1" s="1" t="inlineStr">
        <is>
          <t>Fully Operational</t>
        </is>
      </c>
      <c r="N1" s="1" t="inlineStr">
        <is>
          <t>Notes</t>
        </is>
      </c>
    </row>
    <row r="2">
      <c r="A2" s="10" t="n">
        <v>46076</v>
      </c>
      <c r="B2" s="2" t="inlineStr">
        <is>
          <t>Customer Service Rep</t>
        </is>
      </c>
      <c r="C2" s="2" t="inlineStr">
        <is>
          <t>SCA Non-Exempt</t>
        </is>
      </c>
      <c r="D2" s="2" t="n">
        <v>12</v>
      </c>
      <c r="E2" s="2" t="n">
        <v>5</v>
      </c>
      <c r="F2" s="2" t="n">
        <v>3</v>
      </c>
      <c r="G2" s="10" t="n">
        <v>46090</v>
      </c>
      <c r="H2" s="2">
        <f>D2-E2</f>
        <v/>
      </c>
      <c r="I2" s="20">
        <f>IF(D2=0,0,E2/D2)</f>
        <v/>
      </c>
      <c r="J2" s="2" t="n">
        <v>0</v>
      </c>
      <c r="K2" s="2" t="n">
        <v>5</v>
      </c>
      <c r="L2" s="2" t="n">
        <v>5</v>
      </c>
      <c r="M2" s="2" t="n">
        <v>4</v>
      </c>
      <c r="N2" s="2" t="inlineStr"/>
      <c r="O2" s="21">
        <f>I2</f>
        <v/>
      </c>
    </row>
    <row r="3">
      <c r="A3" s="11" t="n">
        <v>46076</v>
      </c>
      <c r="B3" s="4" t="inlineStr">
        <is>
          <t>Claims Processor</t>
        </is>
      </c>
      <c r="C3" s="4" t="inlineStr">
        <is>
          <t>SCA Non-Exempt</t>
        </is>
      </c>
      <c r="D3" s="4" t="n">
        <v>8</v>
      </c>
      <c r="E3" s="4" t="n">
        <v>3</v>
      </c>
      <c r="F3" s="4" t="n">
        <v>2</v>
      </c>
      <c r="G3" s="11" t="n">
        <v>46097</v>
      </c>
      <c r="H3" s="4">
        <f>D3-E3</f>
        <v/>
      </c>
      <c r="I3" s="22">
        <f>IF(D3=0,0,E3/D3)</f>
        <v/>
      </c>
      <c r="J3" s="4" t="n">
        <v>0</v>
      </c>
      <c r="K3" s="4" t="n">
        <v>3</v>
      </c>
      <c r="L3" s="4" t="n">
        <v>2</v>
      </c>
      <c r="M3" s="4" t="n">
        <v>2</v>
      </c>
      <c r="N3" s="4" t="inlineStr"/>
      <c r="O3" s="21">
        <f>I3</f>
        <v/>
      </c>
    </row>
    <row r="4">
      <c r="A4" s="10" t="n">
        <v>46076</v>
      </c>
      <c r="B4" s="2" t="inlineStr">
        <is>
          <t>Quality Analyst</t>
        </is>
      </c>
      <c r="C4" s="2" t="inlineStr">
        <is>
          <t>CAS Exempt</t>
        </is>
      </c>
      <c r="D4" s="2" t="n">
        <v>3</v>
      </c>
      <c r="E4" s="2" t="n">
        <v>1</v>
      </c>
      <c r="F4" s="2" t="n">
        <v>1</v>
      </c>
      <c r="G4" s="10" t="n">
        <v>46104</v>
      </c>
      <c r="H4" s="2">
        <f>D4-E4</f>
        <v/>
      </c>
      <c r="I4" s="20">
        <f>IF(D4=0,0,E4/D4)</f>
        <v/>
      </c>
      <c r="J4" s="2" t="n">
        <v>0</v>
      </c>
      <c r="K4" s="2" t="n">
        <v>1</v>
      </c>
      <c r="L4" s="2" t="n">
        <v>1</v>
      </c>
      <c r="M4" s="2" t="n">
        <v>1</v>
      </c>
      <c r="N4" s="2" t="inlineStr"/>
      <c r="O4" s="21">
        <f>I4</f>
        <v/>
      </c>
    </row>
    <row r="5">
      <c r="A5" s="11" t="n">
        <v>46076</v>
      </c>
      <c r="B5" s="4" t="inlineStr">
        <is>
          <t>Team Lead</t>
        </is>
      </c>
      <c r="C5" s="4" t="inlineStr">
        <is>
          <t>CAS Exempt</t>
        </is>
      </c>
      <c r="D5" s="4" t="n">
        <v>3</v>
      </c>
      <c r="E5" s="4" t="n">
        <v>2</v>
      </c>
      <c r="F5" s="4" t="n">
        <v>0</v>
      </c>
      <c r="G5" s="11" t="n"/>
      <c r="H5" s="4">
        <f>D5-E5</f>
        <v/>
      </c>
      <c r="I5" s="22">
        <f>IF(D5=0,0,E5/D5)</f>
        <v/>
      </c>
      <c r="J5" s="4" t="n">
        <v>0</v>
      </c>
      <c r="K5" s="4" t="n">
        <v>2</v>
      </c>
      <c r="L5" s="4" t="n">
        <v>2</v>
      </c>
      <c r="M5" s="4" t="n">
        <v>2</v>
      </c>
      <c r="N5" s="4" t="inlineStr"/>
      <c r="O5" s="21">
        <f>I5</f>
        <v/>
      </c>
    </row>
    <row r="6">
      <c r="A6" s="10" t="n">
        <v>46076</v>
      </c>
      <c r="B6" s="2" t="inlineStr">
        <is>
          <t>IT Support Specialist</t>
        </is>
      </c>
      <c r="C6" s="2" t="inlineStr">
        <is>
          <t>CAS Exempt</t>
        </is>
      </c>
      <c r="D6" s="2" t="n">
        <v>2</v>
      </c>
      <c r="E6" s="2" t="n">
        <v>1</v>
      </c>
      <c r="F6" s="2" t="n">
        <v>1</v>
      </c>
      <c r="G6" s="10" t="n">
        <v>46090</v>
      </c>
      <c r="H6" s="2">
        <f>D6-E6</f>
        <v/>
      </c>
      <c r="I6" s="20">
        <f>IF(D6=0,0,E6/D6)</f>
        <v/>
      </c>
      <c r="J6" s="2" t="n">
        <v>0</v>
      </c>
      <c r="K6" s="2" t="n">
        <v>1</v>
      </c>
      <c r="L6" s="2" t="n">
        <v>1</v>
      </c>
      <c r="M6" s="2" t="n">
        <v>1</v>
      </c>
      <c r="N6" s="2" t="inlineStr"/>
      <c r="O6" s="21">
        <f>I6</f>
        <v/>
      </c>
    </row>
    <row r="7">
      <c r="A7" s="11" t="n">
        <v>46083</v>
      </c>
      <c r="B7" s="4" t="inlineStr">
        <is>
          <t>Customer Service Rep</t>
        </is>
      </c>
      <c r="C7" s="4" t="inlineStr">
        <is>
          <t>SCA Non-Exempt</t>
        </is>
      </c>
      <c r="D7" s="4" t="n">
        <v>12</v>
      </c>
      <c r="E7" s="4" t="n">
        <v>6</v>
      </c>
      <c r="F7" s="4" t="n">
        <v>2</v>
      </c>
      <c r="G7" s="11" t="n">
        <v>46097</v>
      </c>
      <c r="H7" s="4">
        <f>D7-E7</f>
        <v/>
      </c>
      <c r="I7" s="22">
        <f>IF(D7=0,0,E7/D7)</f>
        <v/>
      </c>
      <c r="J7" s="4" t="n">
        <v>1</v>
      </c>
      <c r="K7" s="4" t="n">
        <v>6</v>
      </c>
      <c r="L7" s="4" t="n">
        <v>6</v>
      </c>
      <c r="M7" s="4" t="n">
        <v>5</v>
      </c>
      <c r="N7" s="4" t="inlineStr"/>
      <c r="O7" s="21">
        <f>I7</f>
        <v/>
      </c>
    </row>
    <row r="8">
      <c r="A8" s="10" t="n">
        <v>46083</v>
      </c>
      <c r="B8" s="2" t="inlineStr">
        <is>
          <t>Claims Processor</t>
        </is>
      </c>
      <c r="C8" s="2" t="inlineStr">
        <is>
          <t>SCA Non-Exempt</t>
        </is>
      </c>
      <c r="D8" s="2" t="n">
        <v>8</v>
      </c>
      <c r="E8" s="2" t="n">
        <v>4</v>
      </c>
      <c r="F8" s="2" t="n">
        <v>1</v>
      </c>
      <c r="G8" s="10" t="n">
        <v>46104</v>
      </c>
      <c r="H8" s="2">
        <f>D8-E8</f>
        <v/>
      </c>
      <c r="I8" s="20">
        <f>IF(D8=0,0,E8/D8)</f>
        <v/>
      </c>
      <c r="J8" s="2" t="n">
        <v>1</v>
      </c>
      <c r="K8" s="2" t="n">
        <v>4</v>
      </c>
      <c r="L8" s="2" t="n">
        <v>3</v>
      </c>
      <c r="M8" s="2" t="n">
        <v>3</v>
      </c>
      <c r="N8" s="2" t="inlineStr"/>
      <c r="O8" s="21">
        <f>I8</f>
        <v/>
      </c>
    </row>
    <row r="9">
      <c r="A9" s="11" t="n">
        <v>46083</v>
      </c>
      <c r="B9" s="4" t="inlineStr">
        <is>
          <t>Quality Analyst</t>
        </is>
      </c>
      <c r="C9" s="4" t="inlineStr">
        <is>
          <t>CAS Exempt</t>
        </is>
      </c>
      <c r="D9" s="4" t="n">
        <v>3</v>
      </c>
      <c r="E9" s="4" t="n">
        <v>1</v>
      </c>
      <c r="F9" s="4" t="n">
        <v>1</v>
      </c>
      <c r="G9" s="11" t="n">
        <v>46111</v>
      </c>
      <c r="H9" s="4">
        <f>D9-E9</f>
        <v/>
      </c>
      <c r="I9" s="22">
        <f>IF(D9=0,0,E9/D9)</f>
        <v/>
      </c>
      <c r="J9" s="4" t="n">
        <v>0</v>
      </c>
      <c r="K9" s="4" t="n">
        <v>1</v>
      </c>
      <c r="L9" s="4" t="n">
        <v>1</v>
      </c>
      <c r="M9" s="4" t="n">
        <v>1</v>
      </c>
      <c r="N9" s="4" t="inlineStr"/>
      <c r="O9" s="21">
        <f>I9</f>
        <v/>
      </c>
    </row>
    <row r="10">
      <c r="A10" s="10" t="n">
        <v>46083</v>
      </c>
      <c r="B10" s="2" t="inlineStr">
        <is>
          <t>Team Lead</t>
        </is>
      </c>
      <c r="C10" s="2" t="inlineStr">
        <is>
          <t>CAS Exempt</t>
        </is>
      </c>
      <c r="D10" s="2" t="n">
        <v>3</v>
      </c>
      <c r="E10" s="2" t="n">
        <v>2</v>
      </c>
      <c r="F10" s="2" t="n">
        <v>0</v>
      </c>
      <c r="G10" s="10" t="n"/>
      <c r="H10" s="2">
        <f>D10-E10</f>
        <v/>
      </c>
      <c r="I10" s="20">
        <f>IF(D10=0,0,E10/D10)</f>
        <v/>
      </c>
      <c r="J10" s="2" t="n">
        <v>0</v>
      </c>
      <c r="K10" s="2" t="n">
        <v>2</v>
      </c>
      <c r="L10" s="2" t="n">
        <v>2</v>
      </c>
      <c r="M10" s="2" t="n">
        <v>2</v>
      </c>
      <c r="N10" s="2" t="inlineStr"/>
      <c r="O10" s="21">
        <f>I10</f>
        <v/>
      </c>
    </row>
    <row r="11">
      <c r="A11" s="11" t="n">
        <v>46083</v>
      </c>
      <c r="B11" s="4" t="inlineStr">
        <is>
          <t>IT Support Specialist</t>
        </is>
      </c>
      <c r="C11" s="4" t="inlineStr">
        <is>
          <t>CAS Exempt</t>
        </is>
      </c>
      <c r="D11" s="4" t="n">
        <v>2</v>
      </c>
      <c r="E11" s="4" t="n">
        <v>2</v>
      </c>
      <c r="F11" s="4" t="n">
        <v>0</v>
      </c>
      <c r="G11" s="11" t="n"/>
      <c r="H11" s="4">
        <f>D11-E11</f>
        <v/>
      </c>
      <c r="I11" s="22">
        <f>IF(D11=0,0,E11/D11)</f>
        <v/>
      </c>
      <c r="J11" s="4" t="n">
        <v>1</v>
      </c>
      <c r="K11" s="4" t="n">
        <v>2</v>
      </c>
      <c r="L11" s="4" t="n">
        <v>2</v>
      </c>
      <c r="M11" s="4" t="n">
        <v>1</v>
      </c>
      <c r="N11" s="4" t="inlineStr"/>
      <c r="O11" s="21">
        <f>I11</f>
        <v/>
      </c>
    </row>
    <row r="12">
      <c r="A12" s="10" t="n">
        <v>46090</v>
      </c>
      <c r="B12" s="2" t="inlineStr">
        <is>
          <t>Customer Service Rep</t>
        </is>
      </c>
      <c r="C12" s="2" t="inlineStr">
        <is>
          <t>SCA Non-Exempt</t>
        </is>
      </c>
      <c r="D12" s="2" t="n">
        <v>12</v>
      </c>
      <c r="E12" s="2" t="n">
        <v>7</v>
      </c>
      <c r="F12" s="2" t="n">
        <v>2</v>
      </c>
      <c r="G12" s="10" t="n">
        <v>46104</v>
      </c>
      <c r="H12" s="2">
        <f>D12-E12</f>
        <v/>
      </c>
      <c r="I12" s="20">
        <f>IF(D12=0,0,E12/D12)</f>
        <v/>
      </c>
      <c r="J12" s="2" t="n">
        <v>1</v>
      </c>
      <c r="K12" s="2" t="n">
        <v>7</v>
      </c>
      <c r="L12" s="2" t="n">
        <v>7</v>
      </c>
      <c r="M12" s="2" t="n">
        <v>5</v>
      </c>
      <c r="N12" s="2" t="inlineStr"/>
      <c r="O12" s="21">
        <f>I12</f>
        <v/>
      </c>
    </row>
    <row r="13">
      <c r="A13" s="11" t="n">
        <v>46090</v>
      </c>
      <c r="B13" s="4" t="inlineStr">
        <is>
          <t>Claims Processor</t>
        </is>
      </c>
      <c r="C13" s="4" t="inlineStr">
        <is>
          <t>SCA Non-Exempt</t>
        </is>
      </c>
      <c r="D13" s="4" t="n">
        <v>8</v>
      </c>
      <c r="E13" s="4" t="n">
        <v>5</v>
      </c>
      <c r="F13" s="4" t="n">
        <v>1</v>
      </c>
      <c r="G13" s="11" t="n">
        <v>46111</v>
      </c>
      <c r="H13" s="4">
        <f>D13-E13</f>
        <v/>
      </c>
      <c r="I13" s="22">
        <f>IF(D13=0,0,E13/D13)</f>
        <v/>
      </c>
      <c r="J13" s="4" t="n">
        <v>1</v>
      </c>
      <c r="K13" s="4" t="n">
        <v>5</v>
      </c>
      <c r="L13" s="4" t="n">
        <v>5</v>
      </c>
      <c r="M13" s="4" t="n">
        <v>3</v>
      </c>
      <c r="N13" s="4" t="inlineStr"/>
      <c r="O13" s="21">
        <f>I13</f>
        <v/>
      </c>
    </row>
    <row r="14">
      <c r="A14" s="10" t="n">
        <v>46090</v>
      </c>
      <c r="B14" s="2" t="inlineStr">
        <is>
          <t>Quality Analyst</t>
        </is>
      </c>
      <c r="C14" s="2" t="inlineStr">
        <is>
          <t>CAS Exempt</t>
        </is>
      </c>
      <c r="D14" s="2" t="n">
        <v>3</v>
      </c>
      <c r="E14" s="2" t="n">
        <v>1</v>
      </c>
      <c r="F14" s="2" t="n">
        <v>1</v>
      </c>
      <c r="G14" s="10" t="n">
        <v>46118</v>
      </c>
      <c r="H14" s="2">
        <f>D14-E14</f>
        <v/>
      </c>
      <c r="I14" s="20">
        <f>IF(D14=0,0,E14/D14)</f>
        <v/>
      </c>
      <c r="J14" s="2" t="n">
        <v>0</v>
      </c>
      <c r="K14" s="2" t="n">
        <v>1</v>
      </c>
      <c r="L14" s="2" t="n">
        <v>1</v>
      </c>
      <c r="M14" s="2" t="n">
        <v>1</v>
      </c>
      <c r="N14" s="2" t="inlineStr"/>
      <c r="O14" s="21">
        <f>I14</f>
        <v/>
      </c>
    </row>
    <row r="15">
      <c r="A15" s="11" t="n">
        <v>46090</v>
      </c>
      <c r="B15" s="4" t="inlineStr">
        <is>
          <t>Team Lead</t>
        </is>
      </c>
      <c r="C15" s="4" t="inlineStr">
        <is>
          <t>CAS Exempt</t>
        </is>
      </c>
      <c r="D15" s="4" t="n">
        <v>3</v>
      </c>
      <c r="E15" s="4" t="n">
        <v>2</v>
      </c>
      <c r="F15" s="4" t="n">
        <v>0</v>
      </c>
      <c r="G15" s="11" t="n"/>
      <c r="H15" s="4">
        <f>D15-E15</f>
        <v/>
      </c>
      <c r="I15" s="22">
        <f>IF(D15=0,0,E15/D15)</f>
        <v/>
      </c>
      <c r="J15" s="4" t="n">
        <v>0</v>
      </c>
      <c r="K15" s="4" t="n">
        <v>2</v>
      </c>
      <c r="L15" s="4" t="n">
        <v>2</v>
      </c>
      <c r="M15" s="4" t="n">
        <v>2</v>
      </c>
      <c r="N15" s="4" t="inlineStr"/>
      <c r="O15" s="21">
        <f>I15</f>
        <v/>
      </c>
    </row>
    <row r="16">
      <c r="A16" s="10" t="n">
        <v>46090</v>
      </c>
      <c r="B16" s="2" t="inlineStr">
        <is>
          <t>IT Support Specialist</t>
        </is>
      </c>
      <c r="C16" s="2" t="inlineStr">
        <is>
          <t>CAS Exempt</t>
        </is>
      </c>
      <c r="D16" s="2" t="n">
        <v>2</v>
      </c>
      <c r="E16" s="2" t="n">
        <v>2</v>
      </c>
      <c r="F16" s="2" t="n">
        <v>0</v>
      </c>
      <c r="G16" s="10" t="n"/>
      <c r="H16" s="2">
        <f>D16-E16</f>
        <v/>
      </c>
      <c r="I16" s="20">
        <f>IF(D16=0,0,E16/D16)</f>
        <v/>
      </c>
      <c r="J16" s="2" t="n">
        <v>0</v>
      </c>
      <c r="K16" s="2" t="n">
        <v>2</v>
      </c>
      <c r="L16" s="2" t="n">
        <v>2</v>
      </c>
      <c r="M16" s="2" t="n">
        <v>2</v>
      </c>
      <c r="N16" s="2" t="inlineStr"/>
      <c r="O16" s="21">
        <f>I16</f>
        <v/>
      </c>
    </row>
    <row r="17">
      <c r="A17" s="11" t="n">
        <v>46097</v>
      </c>
      <c r="B17" s="4" t="inlineStr">
        <is>
          <t>Customer Service Rep</t>
        </is>
      </c>
      <c r="C17" s="4" t="inlineStr">
        <is>
          <t>SCA Non-Exempt</t>
        </is>
      </c>
      <c r="D17" s="4" t="n">
        <v>12</v>
      </c>
      <c r="E17" s="4" t="n">
        <v>8</v>
      </c>
      <c r="F17" s="4" t="n">
        <v>2</v>
      </c>
      <c r="G17" s="11" t="n">
        <v>46111</v>
      </c>
      <c r="H17" s="4">
        <f>D17-E17</f>
        <v/>
      </c>
      <c r="I17" s="22">
        <f>IF(D17=0,0,E17/D17)</f>
        <v/>
      </c>
      <c r="J17" s="4" t="n">
        <v>1</v>
      </c>
      <c r="K17" s="4" t="n">
        <v>8</v>
      </c>
      <c r="L17" s="4" t="n">
        <v>8</v>
      </c>
      <c r="M17" s="4" t="n">
        <v>6</v>
      </c>
      <c r="N17" s="4" t="inlineStr"/>
      <c r="O17" s="21">
        <f>I17</f>
        <v/>
      </c>
    </row>
    <row r="18">
      <c r="A18" s="10" t="n">
        <v>46097</v>
      </c>
      <c r="B18" s="2" t="inlineStr">
        <is>
          <t>Claims Processor</t>
        </is>
      </c>
      <c r="C18" s="2" t="inlineStr">
        <is>
          <t>SCA Non-Exempt</t>
        </is>
      </c>
      <c r="D18" s="2" t="n">
        <v>8</v>
      </c>
      <c r="E18" s="2" t="n">
        <v>5</v>
      </c>
      <c r="F18" s="2" t="n">
        <v>1</v>
      </c>
      <c r="G18" s="10" t="n">
        <v>46125</v>
      </c>
      <c r="H18" s="2">
        <f>D18-E18</f>
        <v/>
      </c>
      <c r="I18" s="20">
        <f>IF(D18=0,0,E18/D18)</f>
        <v/>
      </c>
      <c r="J18" s="2" t="n">
        <v>0</v>
      </c>
      <c r="K18" s="2" t="n">
        <v>5</v>
      </c>
      <c r="L18" s="2" t="n">
        <v>5</v>
      </c>
      <c r="M18" s="2" t="n">
        <v>4</v>
      </c>
      <c r="N18" s="2" t="inlineStr"/>
      <c r="O18" s="21">
        <f>I18</f>
        <v/>
      </c>
    </row>
    <row r="19">
      <c r="A19" s="11" t="n">
        <v>46097</v>
      </c>
      <c r="B19" s="4" t="inlineStr">
        <is>
          <t>Quality Analyst</t>
        </is>
      </c>
      <c r="C19" s="4" t="inlineStr">
        <is>
          <t>CAS Exempt</t>
        </is>
      </c>
      <c r="D19" s="4" t="n">
        <v>3</v>
      </c>
      <c r="E19" s="4" t="n">
        <v>2</v>
      </c>
      <c r="F19" s="4" t="n">
        <v>0</v>
      </c>
      <c r="G19" s="11" t="n"/>
      <c r="H19" s="4">
        <f>D19-E19</f>
        <v/>
      </c>
      <c r="I19" s="22">
        <f>IF(D19=0,0,E19/D19)</f>
        <v/>
      </c>
      <c r="J19" s="4" t="n">
        <v>1</v>
      </c>
      <c r="K19" s="4" t="n">
        <v>2</v>
      </c>
      <c r="L19" s="4" t="n">
        <v>2</v>
      </c>
      <c r="M19" s="4" t="n">
        <v>1</v>
      </c>
      <c r="N19" s="4" t="inlineStr"/>
      <c r="O19" s="21">
        <f>I19</f>
        <v/>
      </c>
    </row>
    <row r="20">
      <c r="A20" s="10" t="n">
        <v>46097</v>
      </c>
      <c r="B20" s="2" t="inlineStr">
        <is>
          <t>Team Lead</t>
        </is>
      </c>
      <c r="C20" s="2" t="inlineStr">
        <is>
          <t>CAS Exempt</t>
        </is>
      </c>
      <c r="D20" s="2" t="n">
        <v>3</v>
      </c>
      <c r="E20" s="2" t="n">
        <v>2</v>
      </c>
      <c r="F20" s="2" t="n">
        <v>1</v>
      </c>
      <c r="G20" s="10" t="n">
        <v>46125</v>
      </c>
      <c r="H20" s="2">
        <f>D20-E20</f>
        <v/>
      </c>
      <c r="I20" s="20">
        <f>IF(D20=0,0,E20/D20)</f>
        <v/>
      </c>
      <c r="J20" s="2" t="n">
        <v>0</v>
      </c>
      <c r="K20" s="2" t="n">
        <v>2</v>
      </c>
      <c r="L20" s="2" t="n">
        <v>2</v>
      </c>
      <c r="M20" s="2" t="n">
        <v>2</v>
      </c>
      <c r="N20" s="2" t="inlineStr"/>
      <c r="O20" s="21">
        <f>I20</f>
        <v/>
      </c>
    </row>
    <row r="21">
      <c r="A21" s="11" t="n">
        <v>46097</v>
      </c>
      <c r="B21" s="4" t="inlineStr">
        <is>
          <t>IT Support Specialist</t>
        </is>
      </c>
      <c r="C21" s="4" t="inlineStr">
        <is>
          <t>CAS Exempt</t>
        </is>
      </c>
      <c r="D21" s="4" t="n">
        <v>2</v>
      </c>
      <c r="E21" s="4" t="n">
        <v>2</v>
      </c>
      <c r="F21" s="4" t="n">
        <v>0</v>
      </c>
      <c r="G21" s="11" t="n"/>
      <c r="H21" s="4">
        <f>D21-E21</f>
        <v/>
      </c>
      <c r="I21" s="22">
        <f>IF(D21=0,0,E21/D21)</f>
        <v/>
      </c>
      <c r="J21" s="4" t="n">
        <v>0</v>
      </c>
      <c r="K21" s="4" t="n">
        <v>2</v>
      </c>
      <c r="L21" s="4" t="n">
        <v>2</v>
      </c>
      <c r="M21" s="4" t="n">
        <v>2</v>
      </c>
      <c r="N21" s="4" t="inlineStr"/>
      <c r="O21" s="21">
        <f>I21</f>
        <v/>
      </c>
    </row>
    <row r="22">
      <c r="A22" s="10" t="n">
        <v>46104</v>
      </c>
      <c r="B22" s="2" t="inlineStr">
        <is>
          <t>Customer Service Rep</t>
        </is>
      </c>
      <c r="C22" s="2" t="inlineStr">
        <is>
          <t>SCA Non-Exempt</t>
        </is>
      </c>
      <c r="D22" s="2" t="n">
        <v>12</v>
      </c>
      <c r="E22" s="2" t="n">
        <v>8</v>
      </c>
      <c r="F22" s="2" t="n">
        <v>1</v>
      </c>
      <c r="G22" s="10" t="n">
        <v>46125</v>
      </c>
      <c r="H22" s="2">
        <f>D22-E22</f>
        <v/>
      </c>
      <c r="I22" s="20">
        <f>IF(D22=0,0,E22/D22)</f>
        <v/>
      </c>
      <c r="J22" s="2" t="n">
        <v>0</v>
      </c>
      <c r="K22" s="2" t="n">
        <v>8</v>
      </c>
      <c r="L22" s="2" t="n">
        <v>8</v>
      </c>
      <c r="M22" s="2" t="n">
        <v>7</v>
      </c>
      <c r="N22" s="2" t="inlineStr"/>
      <c r="O22" s="21">
        <f>I22</f>
        <v/>
      </c>
    </row>
    <row r="23">
      <c r="A23" s="11" t="n">
        <v>46104</v>
      </c>
      <c r="B23" s="4" t="inlineStr">
        <is>
          <t>Claims Processor</t>
        </is>
      </c>
      <c r="C23" s="4" t="inlineStr">
        <is>
          <t>SCA Non-Exempt</t>
        </is>
      </c>
      <c r="D23" s="4" t="n">
        <v>8</v>
      </c>
      <c r="E23" s="4" t="n">
        <v>5</v>
      </c>
      <c r="F23" s="4" t="n">
        <v>1</v>
      </c>
      <c r="G23" s="11" t="n">
        <v>46132</v>
      </c>
      <c r="H23" s="4">
        <f>D23-E23</f>
        <v/>
      </c>
      <c r="I23" s="22">
        <f>IF(D23=0,0,E23/D23)</f>
        <v/>
      </c>
      <c r="J23" s="4" t="n">
        <v>0</v>
      </c>
      <c r="K23" s="4" t="n">
        <v>5</v>
      </c>
      <c r="L23" s="4" t="n">
        <v>5</v>
      </c>
      <c r="M23" s="4" t="n">
        <v>4</v>
      </c>
      <c r="N23" s="4" t="inlineStr"/>
      <c r="O23" s="21">
        <f>I23</f>
        <v/>
      </c>
    </row>
    <row r="24">
      <c r="A24" s="10" t="n">
        <v>46104</v>
      </c>
      <c r="B24" s="2" t="inlineStr">
        <is>
          <t>Quality Analyst</t>
        </is>
      </c>
      <c r="C24" s="2" t="inlineStr">
        <is>
          <t>CAS Exempt</t>
        </is>
      </c>
      <c r="D24" s="2" t="n">
        <v>3</v>
      </c>
      <c r="E24" s="2" t="n">
        <v>2</v>
      </c>
      <c r="F24" s="2" t="n">
        <v>0</v>
      </c>
      <c r="G24" s="10" t="n"/>
      <c r="H24" s="2">
        <f>D24-E24</f>
        <v/>
      </c>
      <c r="I24" s="20">
        <f>IF(D24=0,0,E24/D24)</f>
        <v/>
      </c>
      <c r="J24" s="2" t="n">
        <v>0</v>
      </c>
      <c r="K24" s="2" t="n">
        <v>2</v>
      </c>
      <c r="L24" s="2" t="n">
        <v>2</v>
      </c>
      <c r="M24" s="2" t="n">
        <v>1</v>
      </c>
      <c r="N24" s="2" t="inlineStr"/>
      <c r="O24" s="21">
        <f>I24</f>
        <v/>
      </c>
    </row>
    <row r="25">
      <c r="A25" s="11" t="n">
        <v>46104</v>
      </c>
      <c r="B25" s="4" t="inlineStr">
        <is>
          <t>Team Lead</t>
        </is>
      </c>
      <c r="C25" s="4" t="inlineStr">
        <is>
          <t>CAS Exempt</t>
        </is>
      </c>
      <c r="D25" s="4" t="n">
        <v>3</v>
      </c>
      <c r="E25" s="4" t="n">
        <v>2</v>
      </c>
      <c r="F25" s="4" t="n">
        <v>1</v>
      </c>
      <c r="G25" s="11" t="n">
        <v>46132</v>
      </c>
      <c r="H25" s="4">
        <f>D25-E25</f>
        <v/>
      </c>
      <c r="I25" s="22">
        <f>IF(D25=0,0,E25/D25)</f>
        <v/>
      </c>
      <c r="J25" s="4" t="n">
        <v>0</v>
      </c>
      <c r="K25" s="4" t="n">
        <v>2</v>
      </c>
      <c r="L25" s="4" t="n">
        <v>2</v>
      </c>
      <c r="M25" s="4" t="n">
        <v>2</v>
      </c>
      <c r="N25" s="4" t="inlineStr"/>
      <c r="O25" s="21">
        <f>I25</f>
        <v/>
      </c>
    </row>
    <row r="26">
      <c r="A26" s="10" t="n">
        <v>46104</v>
      </c>
      <c r="B26" s="2" t="inlineStr">
        <is>
          <t>IT Support Specialist</t>
        </is>
      </c>
      <c r="C26" s="2" t="inlineStr">
        <is>
          <t>CAS Exempt</t>
        </is>
      </c>
      <c r="D26" s="2" t="n">
        <v>2</v>
      </c>
      <c r="E26" s="2" t="n">
        <v>2</v>
      </c>
      <c r="F26" s="2" t="n">
        <v>0</v>
      </c>
      <c r="G26" s="10" t="n"/>
      <c r="H26" s="2">
        <f>D26-E26</f>
        <v/>
      </c>
      <c r="I26" s="20">
        <f>IF(D26=0,0,E26/D26)</f>
        <v/>
      </c>
      <c r="J26" s="2" t="n">
        <v>0</v>
      </c>
      <c r="K26" s="2" t="n">
        <v>2</v>
      </c>
      <c r="L26" s="2" t="n">
        <v>2</v>
      </c>
      <c r="M26" s="2" t="n">
        <v>2</v>
      </c>
      <c r="N26" s="2" t="inlineStr"/>
      <c r="O26" s="21">
        <f>I26</f>
        <v/>
      </c>
    </row>
    <row r="27">
      <c r="A27" s="11" t="n">
        <v>46111</v>
      </c>
      <c r="B27" s="4" t="inlineStr">
        <is>
          <t>Customer Service Rep</t>
        </is>
      </c>
      <c r="C27" s="4" t="inlineStr">
        <is>
          <t>SCA Non-Exempt</t>
        </is>
      </c>
      <c r="D27" s="4" t="n">
        <v>12</v>
      </c>
      <c r="E27" s="4" t="n">
        <v>8</v>
      </c>
      <c r="F27" s="4" t="n">
        <v>2</v>
      </c>
      <c r="G27" s="11" t="n">
        <v>46132</v>
      </c>
      <c r="H27" s="4">
        <f>D27-E27</f>
        <v/>
      </c>
      <c r="I27" s="22">
        <f>IF(D27=0,0,E27/D27)</f>
        <v/>
      </c>
      <c r="J27" s="4" t="n">
        <v>0</v>
      </c>
      <c r="K27" s="4" t="n">
        <v>8</v>
      </c>
      <c r="L27" s="4" t="n">
        <v>8</v>
      </c>
      <c r="M27" s="4" t="n">
        <v>7</v>
      </c>
      <c r="N27" s="4" t="inlineStr"/>
      <c r="O27" s="21">
        <f>I27</f>
        <v/>
      </c>
    </row>
    <row r="28">
      <c r="A28" s="10" t="n">
        <v>46111</v>
      </c>
      <c r="B28" s="2" t="inlineStr">
        <is>
          <t>Claims Processor</t>
        </is>
      </c>
      <c r="C28" s="2" t="inlineStr">
        <is>
          <t>SCA Non-Exempt</t>
        </is>
      </c>
      <c r="D28" s="2" t="n">
        <v>8</v>
      </c>
      <c r="E28" s="2" t="n">
        <v>5</v>
      </c>
      <c r="F28" s="2" t="n">
        <v>1</v>
      </c>
      <c r="G28" s="10" t="n">
        <v>46139</v>
      </c>
      <c r="H28" s="2">
        <f>D28-E28</f>
        <v/>
      </c>
      <c r="I28" s="20">
        <f>IF(D28=0,0,E28/D28)</f>
        <v/>
      </c>
      <c r="J28" s="2" t="n">
        <v>0</v>
      </c>
      <c r="K28" s="2" t="n">
        <v>5</v>
      </c>
      <c r="L28" s="2" t="n">
        <v>5</v>
      </c>
      <c r="M28" s="2" t="n">
        <v>5</v>
      </c>
      <c r="N28" s="2" t="inlineStr"/>
      <c r="O28" s="21">
        <f>I28</f>
        <v/>
      </c>
    </row>
    <row r="29">
      <c r="A29" s="11" t="n">
        <v>46111</v>
      </c>
      <c r="B29" s="4" t="inlineStr">
        <is>
          <t>Quality Analyst</t>
        </is>
      </c>
      <c r="C29" s="4" t="inlineStr">
        <is>
          <t>CAS Exempt</t>
        </is>
      </c>
      <c r="D29" s="4" t="n">
        <v>3</v>
      </c>
      <c r="E29" s="4" t="n">
        <v>2</v>
      </c>
      <c r="F29" s="4" t="n">
        <v>1</v>
      </c>
      <c r="G29" s="11" t="n">
        <v>46146</v>
      </c>
      <c r="H29" s="4">
        <f>D29-E29</f>
        <v/>
      </c>
      <c r="I29" s="22">
        <f>IF(D29=0,0,E29/D29)</f>
        <v/>
      </c>
      <c r="J29" s="4" t="n">
        <v>0</v>
      </c>
      <c r="K29" s="4" t="n">
        <v>2</v>
      </c>
      <c r="L29" s="4" t="n">
        <v>2</v>
      </c>
      <c r="M29" s="4" t="n">
        <v>2</v>
      </c>
      <c r="N29" s="4" t="inlineStr"/>
      <c r="O29" s="21">
        <f>I29</f>
        <v/>
      </c>
    </row>
    <row r="30">
      <c r="A30" s="10" t="n">
        <v>46111</v>
      </c>
      <c r="B30" s="2" t="inlineStr">
        <is>
          <t>Team Lead</t>
        </is>
      </c>
      <c r="C30" s="2" t="inlineStr">
        <is>
          <t>CAS Exempt</t>
        </is>
      </c>
      <c r="D30" s="2" t="n">
        <v>3</v>
      </c>
      <c r="E30" s="2" t="n">
        <v>2</v>
      </c>
      <c r="F30" s="2" t="n">
        <v>0</v>
      </c>
      <c r="G30" s="10" t="n"/>
      <c r="H30" s="2">
        <f>D30-E30</f>
        <v/>
      </c>
      <c r="I30" s="20">
        <f>IF(D30=0,0,E30/D30)</f>
        <v/>
      </c>
      <c r="J30" s="2" t="n">
        <v>0</v>
      </c>
      <c r="K30" s="2" t="n">
        <v>2</v>
      </c>
      <c r="L30" s="2" t="n">
        <v>2</v>
      </c>
      <c r="M30" s="2" t="n">
        <v>2</v>
      </c>
      <c r="N30" s="2" t="inlineStr"/>
      <c r="O30" s="21">
        <f>I30</f>
        <v/>
      </c>
    </row>
    <row r="31">
      <c r="A31" s="11" t="n">
        <v>46111</v>
      </c>
      <c r="B31" s="4" t="inlineStr">
        <is>
          <t>IT Support Specialist</t>
        </is>
      </c>
      <c r="C31" s="4" t="inlineStr">
        <is>
          <t>CAS Exempt</t>
        </is>
      </c>
      <c r="D31" s="4" t="n">
        <v>2</v>
      </c>
      <c r="E31" s="4" t="n">
        <v>2</v>
      </c>
      <c r="F31" s="4" t="n">
        <v>0</v>
      </c>
      <c r="G31" s="11" t="n"/>
      <c r="H31" s="4">
        <f>D31-E31</f>
        <v/>
      </c>
      <c r="I31" s="22">
        <f>IF(D31=0,0,E31/D31)</f>
        <v/>
      </c>
      <c r="J31" s="4" t="n">
        <v>0</v>
      </c>
      <c r="K31" s="4" t="n">
        <v>2</v>
      </c>
      <c r="L31" s="4" t="n">
        <v>2</v>
      </c>
      <c r="M31" s="4" t="n">
        <v>2</v>
      </c>
      <c r="N31" s="4" t="inlineStr"/>
      <c r="O31" s="21">
        <f>I31</f>
        <v/>
      </c>
    </row>
    <row r="32">
      <c r="A32" s="10" t="n">
        <v>46118</v>
      </c>
      <c r="B32" s="2" t="inlineStr">
        <is>
          <t>Customer Service Rep</t>
        </is>
      </c>
      <c r="C32" s="2" t="inlineStr">
        <is>
          <t>SCA Non-Exempt</t>
        </is>
      </c>
      <c r="D32" s="2" t="n">
        <v>12</v>
      </c>
      <c r="E32" s="2" t="n">
        <v>9</v>
      </c>
      <c r="F32" s="2" t="n">
        <v>1</v>
      </c>
      <c r="G32" s="10" t="n">
        <v>46139</v>
      </c>
      <c r="H32" s="2">
        <f>D32-E32</f>
        <v/>
      </c>
      <c r="I32" s="20">
        <f>IF(D32=0,0,E32/D32)</f>
        <v/>
      </c>
      <c r="J32" s="2" t="n">
        <v>1</v>
      </c>
      <c r="K32" s="2" t="n">
        <v>9</v>
      </c>
      <c r="L32" s="2" t="n">
        <v>9</v>
      </c>
      <c r="M32" s="2" t="n">
        <v>7</v>
      </c>
      <c r="N32" s="2" t="inlineStr"/>
      <c r="O32" s="21">
        <f>I32</f>
        <v/>
      </c>
    </row>
    <row r="33">
      <c r="A33" s="11" t="n">
        <v>46118</v>
      </c>
      <c r="B33" s="4" t="inlineStr">
        <is>
          <t>Claims Processor</t>
        </is>
      </c>
      <c r="C33" s="4" t="inlineStr">
        <is>
          <t>SCA Non-Exempt</t>
        </is>
      </c>
      <c r="D33" s="4" t="n">
        <v>8</v>
      </c>
      <c r="E33" s="4" t="n">
        <v>5</v>
      </c>
      <c r="F33" s="4" t="n">
        <v>1</v>
      </c>
      <c r="G33" s="11" t="n">
        <v>46146</v>
      </c>
      <c r="H33" s="4">
        <f>D33-E33</f>
        <v/>
      </c>
      <c r="I33" s="22">
        <f>IF(D33=0,0,E33/D33)</f>
        <v/>
      </c>
      <c r="J33" s="4" t="n">
        <v>0</v>
      </c>
      <c r="K33" s="4" t="n">
        <v>5</v>
      </c>
      <c r="L33" s="4" t="n">
        <v>5</v>
      </c>
      <c r="M33" s="4" t="n">
        <v>5</v>
      </c>
      <c r="N33" s="4" t="inlineStr"/>
      <c r="O33" s="21">
        <f>I33</f>
        <v/>
      </c>
    </row>
    <row r="34">
      <c r="A34" s="10" t="n">
        <v>46118</v>
      </c>
      <c r="B34" s="2" t="inlineStr">
        <is>
          <t>Quality Analyst</t>
        </is>
      </c>
      <c r="C34" s="2" t="inlineStr">
        <is>
          <t>CAS Exempt</t>
        </is>
      </c>
      <c r="D34" s="2" t="n">
        <v>3</v>
      </c>
      <c r="E34" s="2" t="n">
        <v>2</v>
      </c>
      <c r="F34" s="2" t="n">
        <v>1</v>
      </c>
      <c r="G34" s="10" t="n">
        <v>46153</v>
      </c>
      <c r="H34" s="2">
        <f>D34-E34</f>
        <v/>
      </c>
      <c r="I34" s="20">
        <f>IF(D34=0,0,E34/D34)</f>
        <v/>
      </c>
      <c r="J34" s="2" t="n">
        <v>0</v>
      </c>
      <c r="K34" s="2" t="n">
        <v>2</v>
      </c>
      <c r="L34" s="2" t="n">
        <v>2</v>
      </c>
      <c r="M34" s="2" t="n">
        <v>2</v>
      </c>
      <c r="N34" s="2" t="inlineStr"/>
      <c r="O34" s="21">
        <f>I34</f>
        <v/>
      </c>
    </row>
    <row r="35">
      <c r="A35" s="11" t="n">
        <v>46118</v>
      </c>
      <c r="B35" s="4" t="inlineStr">
        <is>
          <t>Team Lead</t>
        </is>
      </c>
      <c r="C35" s="4" t="inlineStr">
        <is>
          <t>CAS Exempt</t>
        </is>
      </c>
      <c r="D35" s="4" t="n">
        <v>3</v>
      </c>
      <c r="E35" s="4" t="n">
        <v>2</v>
      </c>
      <c r="F35" s="4" t="n">
        <v>0</v>
      </c>
      <c r="G35" s="11" t="n"/>
      <c r="H35" s="4">
        <f>D35-E35</f>
        <v/>
      </c>
      <c r="I35" s="22">
        <f>IF(D35=0,0,E35/D35)</f>
        <v/>
      </c>
      <c r="J35" s="4" t="n">
        <v>0</v>
      </c>
      <c r="K35" s="4" t="n">
        <v>2</v>
      </c>
      <c r="L35" s="4" t="n">
        <v>2</v>
      </c>
      <c r="M35" s="4" t="n">
        <v>2</v>
      </c>
      <c r="N35" s="4" t="inlineStr"/>
      <c r="O35" s="21">
        <f>I35</f>
        <v/>
      </c>
    </row>
    <row r="36">
      <c r="A36" s="10" t="n">
        <v>46118</v>
      </c>
      <c r="B36" s="2" t="inlineStr">
        <is>
          <t>IT Support Specialist</t>
        </is>
      </c>
      <c r="C36" s="2" t="inlineStr">
        <is>
          <t>CAS Exempt</t>
        </is>
      </c>
      <c r="D36" s="2" t="n">
        <v>2</v>
      </c>
      <c r="E36" s="2" t="n">
        <v>2</v>
      </c>
      <c r="F36" s="2" t="n">
        <v>0</v>
      </c>
      <c r="G36" s="10" t="n"/>
      <c r="H36" s="2">
        <f>D36-E36</f>
        <v/>
      </c>
      <c r="I36" s="20">
        <f>IF(D36=0,0,E36/D36)</f>
        <v/>
      </c>
      <c r="J36" s="2" t="n">
        <v>0</v>
      </c>
      <c r="K36" s="2" t="n">
        <v>2</v>
      </c>
      <c r="L36" s="2" t="n">
        <v>2</v>
      </c>
      <c r="M36" s="2" t="n">
        <v>2</v>
      </c>
      <c r="N36" s="2" t="inlineStr"/>
      <c r="O36" s="21">
        <f>I36</f>
        <v/>
      </c>
    </row>
    <row r="37">
      <c r="A37" s="11" t="n">
        <v>46125</v>
      </c>
      <c r="B37" s="4" t="inlineStr">
        <is>
          <t>Customer Service Rep</t>
        </is>
      </c>
      <c r="C37" s="4" t="inlineStr">
        <is>
          <t>SCA Non-Exempt</t>
        </is>
      </c>
      <c r="D37" s="4" t="n">
        <v>12</v>
      </c>
      <c r="E37" s="4" t="n">
        <v>9</v>
      </c>
      <c r="F37" s="4" t="n">
        <v>1</v>
      </c>
      <c r="G37" s="11" t="n">
        <v>46146</v>
      </c>
      <c r="H37" s="4">
        <f>D37-E37</f>
        <v/>
      </c>
      <c r="I37" s="22">
        <f>IF(D37=0,0,E37/D37)</f>
        <v/>
      </c>
      <c r="J37" s="4" t="n">
        <v>0</v>
      </c>
      <c r="K37" s="4" t="n">
        <v>9</v>
      </c>
      <c r="L37" s="4" t="n">
        <v>9</v>
      </c>
      <c r="M37" s="4" t="n">
        <v>8</v>
      </c>
      <c r="N37" s="4" t="inlineStr"/>
      <c r="O37" s="21">
        <f>I37</f>
        <v/>
      </c>
    </row>
    <row r="38">
      <c r="A38" s="10" t="n">
        <v>46125</v>
      </c>
      <c r="B38" s="2" t="inlineStr">
        <is>
          <t>Claims Processor</t>
        </is>
      </c>
      <c r="C38" s="2" t="inlineStr">
        <is>
          <t>SCA Non-Exempt</t>
        </is>
      </c>
      <c r="D38" s="2" t="n">
        <v>8</v>
      </c>
      <c r="E38" s="2" t="n">
        <v>5</v>
      </c>
      <c r="F38" s="2" t="n">
        <v>0</v>
      </c>
      <c r="G38" s="10" t="n"/>
      <c r="H38" s="2">
        <f>D38-E38</f>
        <v/>
      </c>
      <c r="I38" s="20">
        <f>IF(D38=0,0,E38/D38)</f>
        <v/>
      </c>
      <c r="J38" s="2" t="n">
        <v>0</v>
      </c>
      <c r="K38" s="2" t="n">
        <v>5</v>
      </c>
      <c r="L38" s="2" t="n">
        <v>5</v>
      </c>
      <c r="M38" s="2" t="n">
        <v>5</v>
      </c>
      <c r="N38" s="2" t="inlineStr"/>
      <c r="O38" s="21">
        <f>I38</f>
        <v/>
      </c>
    </row>
    <row r="39">
      <c r="A39" s="11" t="n">
        <v>46125</v>
      </c>
      <c r="B39" s="4" t="inlineStr">
        <is>
          <t>Quality Analyst</t>
        </is>
      </c>
      <c r="C39" s="4" t="inlineStr">
        <is>
          <t>CAS Exempt</t>
        </is>
      </c>
      <c r="D39" s="4" t="n">
        <v>3</v>
      </c>
      <c r="E39" s="4" t="n">
        <v>2</v>
      </c>
      <c r="F39" s="4" t="n">
        <v>1</v>
      </c>
      <c r="G39" s="11" t="n">
        <v>46160</v>
      </c>
      <c r="H39" s="4">
        <f>D39-E39</f>
        <v/>
      </c>
      <c r="I39" s="22">
        <f>IF(D39=0,0,E39/D39)</f>
        <v/>
      </c>
      <c r="J39" s="4" t="n">
        <v>0</v>
      </c>
      <c r="K39" s="4" t="n">
        <v>2</v>
      </c>
      <c r="L39" s="4" t="n">
        <v>2</v>
      </c>
      <c r="M39" s="4" t="n">
        <v>2</v>
      </c>
      <c r="N39" s="4" t="inlineStr"/>
      <c r="O39" s="21">
        <f>I39</f>
        <v/>
      </c>
    </row>
    <row r="40">
      <c r="A40" s="10" t="n">
        <v>46125</v>
      </c>
      <c r="B40" s="2" t="inlineStr">
        <is>
          <t>Team Lead</t>
        </is>
      </c>
      <c r="C40" s="2" t="inlineStr">
        <is>
          <t>CAS Exempt</t>
        </is>
      </c>
      <c r="D40" s="2" t="n">
        <v>3</v>
      </c>
      <c r="E40" s="2" t="n">
        <v>2</v>
      </c>
      <c r="F40" s="2" t="n">
        <v>0</v>
      </c>
      <c r="G40" s="10" t="n"/>
      <c r="H40" s="2">
        <f>D40-E40</f>
        <v/>
      </c>
      <c r="I40" s="20">
        <f>IF(D40=0,0,E40/D40)</f>
        <v/>
      </c>
      <c r="J40" s="2" t="n">
        <v>0</v>
      </c>
      <c r="K40" s="2" t="n">
        <v>2</v>
      </c>
      <c r="L40" s="2" t="n">
        <v>2</v>
      </c>
      <c r="M40" s="2" t="n">
        <v>2</v>
      </c>
      <c r="N40" s="2" t="inlineStr"/>
      <c r="O40" s="21">
        <f>I40</f>
        <v/>
      </c>
    </row>
    <row r="41">
      <c r="A41" s="11" t="n">
        <v>46125</v>
      </c>
      <c r="B41" s="4" t="inlineStr">
        <is>
          <t>IT Support Specialist</t>
        </is>
      </c>
      <c r="C41" s="4" t="inlineStr">
        <is>
          <t>CAS Exempt</t>
        </is>
      </c>
      <c r="D41" s="4" t="n">
        <v>2</v>
      </c>
      <c r="E41" s="4" t="n">
        <v>2</v>
      </c>
      <c r="F41" s="4" t="n">
        <v>0</v>
      </c>
      <c r="G41" s="11" t="n"/>
      <c r="H41" s="4">
        <f>D41-E41</f>
        <v/>
      </c>
      <c r="I41" s="22">
        <f>IF(D41=0,0,E41/D41)</f>
        <v/>
      </c>
      <c r="J41" s="4" t="n">
        <v>0</v>
      </c>
      <c r="K41" s="4" t="n">
        <v>2</v>
      </c>
      <c r="L41" s="4" t="n">
        <v>2</v>
      </c>
      <c r="M41" s="4" t="n">
        <v>2</v>
      </c>
      <c r="N41" s="4" t="inlineStr"/>
      <c r="O41" s="21">
        <f>I41</f>
        <v/>
      </c>
    </row>
    <row r="42">
      <c r="A42" s="23" t="inlineStr">
        <is>
          <t>TOTALS</t>
        </is>
      </c>
      <c r="B42" s="23" t="n"/>
      <c r="C42" s="23" t="n"/>
      <c r="D42" s="23">
        <f>SUM(D2:D41)</f>
        <v/>
      </c>
      <c r="E42" s="23">
        <f>SUM(E2:E41)</f>
        <v/>
      </c>
      <c r="F42" s="23">
        <f>SUM(F2:F41)</f>
        <v/>
      </c>
      <c r="G42" s="23" t="n"/>
      <c r="H42" s="23">
        <f>SUM(H2:H41)</f>
        <v/>
      </c>
      <c r="I42" s="24">
        <f>IF(D42=0,0,E42/D42)</f>
        <v/>
      </c>
      <c r="J42" s="23">
        <f>SUM(J2:J41)</f>
        <v/>
      </c>
      <c r="K42" s="23">
        <f>SUM(K2:K41)</f>
        <v/>
      </c>
      <c r="L42" s="23">
        <f>SUM(L2:L41)</f>
        <v/>
      </c>
      <c r="M42" s="23">
        <f>SUM(M2:M41)</f>
        <v/>
      </c>
      <c r="N42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4" customWidth="1" min="5" max="5"/>
    <col width="14" customWidth="1" min="6" max="6"/>
    <col width="18" customWidth="1" min="7" max="7"/>
    <col width="22" customWidth="1" min="8" max="8"/>
    <col width="10" customWidth="1" min="9" max="9"/>
    <col width="14" customWidth="1" min="10" max="10"/>
    <col width="14" customWidth="1" min="11" max="11"/>
    <col width="10" customWidth="1" min="12" max="12"/>
    <col width="14" customWidth="1" min="13" max="13"/>
    <col width="14" customWidth="1" min="14" max="14"/>
    <col width="12" customWidth="1" min="15" max="15"/>
    <col width="10" customWidth="1" min="16" max="16"/>
    <col width="14" customWidth="1" min="17" max="17"/>
    <col width="12" customWidth="1" min="18" max="18"/>
    <col width="28" customWidth="1" min="19" max="19"/>
    <col width="14" customWidth="1" min="20" max="20"/>
    <col width="12" customWidth="1" min="21" max="2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Supervisor</t>
        </is>
      </c>
      <c r="E1" s="1" t="inlineStr">
        <is>
          <t>Evaluation Date</t>
        </is>
      </c>
      <c r="F1" s="1" t="inlineStr">
        <is>
          <t>Evaluation Period</t>
        </is>
      </c>
      <c r="G1" s="1" t="inlineStr">
        <is>
          <t>Evaluator Name</t>
        </is>
      </c>
      <c r="H1" s="1" t="inlineStr">
        <is>
          <t>Call/Task ID Monitored</t>
        </is>
      </c>
      <c r="I1" s="1" t="inlineStr">
        <is>
          <t>Accuracy</t>
        </is>
      </c>
      <c r="J1" s="1" t="inlineStr">
        <is>
          <t>Compliance/Script Adherence</t>
        </is>
      </c>
      <c r="K1" s="1" t="inlineStr">
        <is>
          <t>Customer Service/Professionalism</t>
        </is>
      </c>
      <c r="L1" s="1" t="inlineStr">
        <is>
          <t>Timeliness</t>
        </is>
      </c>
      <c r="M1" s="1" t="inlineStr">
        <is>
          <t>Documentation Quality</t>
        </is>
      </c>
      <c r="N1" s="1" t="inlineStr">
        <is>
          <t>Security Protocol Adherence</t>
        </is>
      </c>
      <c r="O1" s="1" t="inlineStr">
        <is>
          <t>Overall Score</t>
        </is>
      </c>
      <c r="P1" s="1" t="inlineStr">
        <is>
          <t>Rating</t>
        </is>
      </c>
      <c r="Q1" s="1" t="inlineStr">
        <is>
          <t>Coaching Required</t>
        </is>
      </c>
      <c r="R1" s="1" t="inlineStr">
        <is>
          <t>Coaching Date</t>
        </is>
      </c>
      <c r="S1" s="1" t="inlineStr">
        <is>
          <t>Coaching Notes</t>
        </is>
      </c>
      <c r="T1" s="1" t="inlineStr">
        <is>
          <t>Improvement Plan</t>
        </is>
      </c>
      <c r="U1" s="1" t="inlineStr">
        <is>
          <t>Follow-Up Date</t>
        </is>
      </c>
    </row>
    <row r="2">
      <c r="A2" s="14" t="inlineStr">
        <is>
          <t>EMP-001</t>
        </is>
      </c>
      <c r="B2" s="14" t="inlineStr">
        <is>
          <t>Maria Santos</t>
        </is>
      </c>
      <c r="C2" s="14" t="inlineStr">
        <is>
          <t>Customer Service Rep</t>
        </is>
      </c>
      <c r="D2" s="14" t="inlineStr">
        <is>
          <t>James Mitchell</t>
        </is>
      </c>
      <c r="E2" s="15" t="n">
        <v>46042</v>
      </c>
      <c r="F2" s="14" t="inlineStr">
        <is>
          <t>Week</t>
        </is>
      </c>
      <c r="G2" s="14" t="inlineStr">
        <is>
          <t>Jennifer Okafor</t>
        </is>
      </c>
      <c r="H2" s="14" t="inlineStr">
        <is>
          <t>CALL-2026-0101</t>
        </is>
      </c>
      <c r="I2" s="14" t="n">
        <v>92</v>
      </c>
      <c r="J2" s="14" t="n">
        <v>88</v>
      </c>
      <c r="K2" s="14" t="n">
        <v>95</v>
      </c>
      <c r="L2" s="14" t="n">
        <v>90</v>
      </c>
      <c r="M2" s="14" t="n">
        <v>85</v>
      </c>
      <c r="N2" s="14" t="n">
        <v>94</v>
      </c>
      <c r="O2" s="14">
        <f>ROUND((I2*0.2)+(J2*0.15)+(K2*0.15)+(L2*0.15)+(M2*0.15)+(N2*0.2),0)</f>
        <v/>
      </c>
      <c r="P2" s="14">
        <f>IF(O2&gt;=90,"Exceeds",IF(O2&gt;=70,"Meets",IF(O2&gt;=50,"Below","Failing")))</f>
        <v/>
      </c>
      <c r="Q2" s="14" t="inlineStr">
        <is>
          <t>No</t>
        </is>
      </c>
      <c r="R2" s="15" t="n"/>
      <c r="S2" s="14" t="inlineStr"/>
      <c r="T2" s="14" t="inlineStr">
        <is>
          <t>No</t>
        </is>
      </c>
      <c r="U2" s="15" t="n"/>
    </row>
    <row r="3">
      <c r="A3" s="14" t="inlineStr">
        <is>
          <t>EMP-001</t>
        </is>
      </c>
      <c r="B3" s="14" t="inlineStr">
        <is>
          <t>Maria Santos</t>
        </is>
      </c>
      <c r="C3" s="14" t="inlineStr">
        <is>
          <t>Customer Service Rep</t>
        </is>
      </c>
      <c r="D3" s="14" t="inlineStr">
        <is>
          <t>James Mitchell</t>
        </is>
      </c>
      <c r="E3" s="15" t="n">
        <v>46070</v>
      </c>
      <c r="F3" s="14" t="inlineStr">
        <is>
          <t>Month</t>
        </is>
      </c>
      <c r="G3" s="14" t="inlineStr">
        <is>
          <t>Jennifer Okafor</t>
        </is>
      </c>
      <c r="H3" s="14" t="inlineStr">
        <is>
          <t>CALL-2026-0234</t>
        </is>
      </c>
      <c r="I3" s="14" t="n">
        <v>94</v>
      </c>
      <c r="J3" s="14" t="n">
        <v>90</v>
      </c>
      <c r="K3" s="14" t="n">
        <v>96</v>
      </c>
      <c r="L3" s="14" t="n">
        <v>92</v>
      </c>
      <c r="M3" s="14" t="n">
        <v>88</v>
      </c>
      <c r="N3" s="14" t="n">
        <v>95</v>
      </c>
      <c r="O3" s="14">
        <f>ROUND((I3*0.2)+(J3*0.15)+(K3*0.15)+(L3*0.15)+(M3*0.15)+(N3*0.2),0)</f>
        <v/>
      </c>
      <c r="P3" s="14">
        <f>IF(O3&gt;=90,"Exceeds",IF(O3&gt;=70,"Meets",IF(O3&gt;=50,"Below","Failing")))</f>
        <v/>
      </c>
      <c r="Q3" s="14" t="inlineStr">
        <is>
          <t>No</t>
        </is>
      </c>
      <c r="R3" s="15" t="n"/>
      <c r="S3" s="14" t="inlineStr"/>
      <c r="T3" s="14" t="inlineStr">
        <is>
          <t>No</t>
        </is>
      </c>
      <c r="U3" s="15" t="n"/>
    </row>
    <row r="4">
      <c r="A4" s="14" t="inlineStr">
        <is>
          <t>EMP-001</t>
        </is>
      </c>
      <c r="B4" s="14" t="inlineStr">
        <is>
          <t>Maria Santos</t>
        </is>
      </c>
      <c r="C4" s="14" t="inlineStr">
        <is>
          <t>Customer Service Rep</t>
        </is>
      </c>
      <c r="D4" s="14" t="inlineStr">
        <is>
          <t>James Mitchell</t>
        </is>
      </c>
      <c r="E4" s="15" t="n">
        <v>46097</v>
      </c>
      <c r="F4" s="14" t="inlineStr">
        <is>
          <t>Month</t>
        </is>
      </c>
      <c r="G4" s="14" t="inlineStr">
        <is>
          <t>Jennifer Okafor</t>
        </is>
      </c>
      <c r="H4" s="14" t="inlineStr">
        <is>
          <t>CALL-2026-0498</t>
        </is>
      </c>
      <c r="I4" s="14" t="n">
        <v>95</v>
      </c>
      <c r="J4" s="14" t="n">
        <v>92</v>
      </c>
      <c r="K4" s="14" t="n">
        <v>97</v>
      </c>
      <c r="L4" s="14" t="n">
        <v>93</v>
      </c>
      <c r="M4" s="14" t="n">
        <v>90</v>
      </c>
      <c r="N4" s="14" t="n">
        <v>96</v>
      </c>
      <c r="O4" s="14">
        <f>ROUND((I4*0.2)+(J4*0.15)+(K4*0.15)+(L4*0.15)+(M4*0.15)+(N4*0.2),0)</f>
        <v/>
      </c>
      <c r="P4" s="14">
        <f>IF(O4&gt;=90,"Exceeds",IF(O4&gt;=70,"Meets",IF(O4&gt;=50,"Below","Failing")))</f>
        <v/>
      </c>
      <c r="Q4" s="14" t="inlineStr">
        <is>
          <t>No</t>
        </is>
      </c>
      <c r="R4" s="15" t="n"/>
      <c r="S4" s="14" t="inlineStr"/>
      <c r="T4" s="14" t="inlineStr">
        <is>
          <t>No</t>
        </is>
      </c>
      <c r="U4" s="15" t="n"/>
    </row>
    <row r="5">
      <c r="A5" s="4" t="inlineStr">
        <is>
          <t>EMP-002</t>
        </is>
      </c>
      <c r="B5" s="4" t="inlineStr">
        <is>
          <t>David Thompson</t>
        </is>
      </c>
      <c r="C5" s="4" t="inlineStr">
        <is>
          <t>Claims Processor</t>
        </is>
      </c>
      <c r="D5" s="4" t="inlineStr">
        <is>
          <t>James Mitchell</t>
        </is>
      </c>
      <c r="E5" s="11" t="n">
        <v>46042</v>
      </c>
      <c r="F5" s="4" t="inlineStr">
        <is>
          <t>Week</t>
        </is>
      </c>
      <c r="G5" s="4" t="inlineStr">
        <is>
          <t>Jennifer Okafor</t>
        </is>
      </c>
      <c r="H5" s="4" t="inlineStr">
        <is>
          <t>CLM-2026-0055</t>
        </is>
      </c>
      <c r="I5" s="4" t="n">
        <v>85</v>
      </c>
      <c r="J5" s="4" t="n">
        <v>82</v>
      </c>
      <c r="K5" s="4" t="n">
        <v>80</v>
      </c>
      <c r="L5" s="4" t="n">
        <v>78</v>
      </c>
      <c r="M5" s="4" t="n">
        <v>88</v>
      </c>
      <c r="N5" s="4" t="n">
        <v>90</v>
      </c>
      <c r="O5" s="4">
        <f>ROUND((I5*0.2)+(J5*0.15)+(K5*0.15)+(L5*0.15)+(M5*0.15)+(N5*0.2),0)</f>
        <v/>
      </c>
      <c r="P5" s="4">
        <f>IF(O5&gt;=90,"Exceeds",IF(O5&gt;=70,"Meets",IF(O5&gt;=50,"Below","Failing")))</f>
        <v/>
      </c>
      <c r="Q5" s="4" t="inlineStr">
        <is>
          <t>No</t>
        </is>
      </c>
      <c r="R5" s="11" t="n"/>
      <c r="S5" s="4" t="inlineStr"/>
      <c r="T5" s="4" t="inlineStr">
        <is>
          <t>No</t>
        </is>
      </c>
      <c r="U5" s="11" t="n"/>
    </row>
    <row r="6">
      <c r="A6" s="2" t="inlineStr">
        <is>
          <t>EMP-002</t>
        </is>
      </c>
      <c r="B6" s="2" t="inlineStr">
        <is>
          <t>David Thompson</t>
        </is>
      </c>
      <c r="C6" s="2" t="inlineStr">
        <is>
          <t>Claims Processor</t>
        </is>
      </c>
      <c r="D6" s="2" t="inlineStr">
        <is>
          <t>James Mitchell</t>
        </is>
      </c>
      <c r="E6" s="10" t="n">
        <v>46070</v>
      </c>
      <c r="F6" s="2" t="inlineStr">
        <is>
          <t>Month</t>
        </is>
      </c>
      <c r="G6" s="2" t="inlineStr">
        <is>
          <t>Jennifer Okafor</t>
        </is>
      </c>
      <c r="H6" s="2" t="inlineStr">
        <is>
          <t>CLM-2026-0189</t>
        </is>
      </c>
      <c r="I6" s="2" t="n">
        <v>87</v>
      </c>
      <c r="J6" s="2" t="n">
        <v>84</v>
      </c>
      <c r="K6" s="2" t="n">
        <v>82</v>
      </c>
      <c r="L6" s="2" t="n">
        <v>80</v>
      </c>
      <c r="M6" s="2" t="n">
        <v>90</v>
      </c>
      <c r="N6" s="2" t="n">
        <v>92</v>
      </c>
      <c r="O6" s="2">
        <f>ROUND((I6*0.2)+(J6*0.15)+(K6*0.15)+(L6*0.15)+(M6*0.15)+(N6*0.2),0)</f>
        <v/>
      </c>
      <c r="P6" s="2">
        <f>IF(O6&gt;=90,"Exceeds",IF(O6&gt;=70,"Meets",IF(O6&gt;=50,"Below","Failing")))</f>
        <v/>
      </c>
      <c r="Q6" s="2" t="inlineStr">
        <is>
          <t>No</t>
        </is>
      </c>
      <c r="R6" s="10" t="n"/>
      <c r="S6" s="2" t="inlineStr"/>
      <c r="T6" s="2" t="inlineStr">
        <is>
          <t>No</t>
        </is>
      </c>
      <c r="U6" s="10" t="n"/>
    </row>
    <row r="7">
      <c r="A7" s="4" t="inlineStr">
        <is>
          <t>EMP-002</t>
        </is>
      </c>
      <c r="B7" s="4" t="inlineStr">
        <is>
          <t>David Thompson</t>
        </is>
      </c>
      <c r="C7" s="4" t="inlineStr">
        <is>
          <t>Claims Processor</t>
        </is>
      </c>
      <c r="D7" s="4" t="inlineStr">
        <is>
          <t>James Mitchell</t>
        </is>
      </c>
      <c r="E7" s="11" t="n">
        <v>46097</v>
      </c>
      <c r="F7" s="4" t="inlineStr">
        <is>
          <t>Month</t>
        </is>
      </c>
      <c r="G7" s="4" t="inlineStr">
        <is>
          <t>Jennifer Okafor</t>
        </is>
      </c>
      <c r="H7" s="4" t="inlineStr">
        <is>
          <t>CLM-2026-0312</t>
        </is>
      </c>
      <c r="I7" s="4" t="n">
        <v>88</v>
      </c>
      <c r="J7" s="4" t="n">
        <v>86</v>
      </c>
      <c r="K7" s="4" t="n">
        <v>84</v>
      </c>
      <c r="L7" s="4" t="n">
        <v>82</v>
      </c>
      <c r="M7" s="4" t="n">
        <v>91</v>
      </c>
      <c r="N7" s="4" t="n">
        <v>93</v>
      </c>
      <c r="O7" s="4">
        <f>ROUND((I7*0.2)+(J7*0.15)+(K7*0.15)+(L7*0.15)+(M7*0.15)+(N7*0.2),0)</f>
        <v/>
      </c>
      <c r="P7" s="4">
        <f>IF(O7&gt;=90,"Exceeds",IF(O7&gt;=70,"Meets",IF(O7&gt;=50,"Below","Failing")))</f>
        <v/>
      </c>
      <c r="Q7" s="4" t="inlineStr">
        <is>
          <t>No</t>
        </is>
      </c>
      <c r="R7" s="11" t="n"/>
      <c r="S7" s="4" t="inlineStr"/>
      <c r="T7" s="4" t="inlineStr">
        <is>
          <t>No</t>
        </is>
      </c>
      <c r="U7" s="11" t="n"/>
    </row>
    <row r="8">
      <c r="A8" s="2" t="inlineStr">
        <is>
          <t>EMP-005</t>
        </is>
      </c>
      <c r="B8" s="2" t="inlineStr">
        <is>
          <t>Ashley Williams</t>
        </is>
      </c>
      <c r="C8" s="2" t="inlineStr">
        <is>
          <t>Customer Service Rep</t>
        </is>
      </c>
      <c r="D8" s="2" t="inlineStr">
        <is>
          <t>James Mitchell</t>
        </is>
      </c>
      <c r="E8" s="10" t="n">
        <v>46056</v>
      </c>
      <c r="F8" s="2" t="inlineStr">
        <is>
          <t>Week</t>
        </is>
      </c>
      <c r="G8" s="2" t="inlineStr">
        <is>
          <t>Jennifer Okafor</t>
        </is>
      </c>
      <c r="H8" s="2" t="inlineStr">
        <is>
          <t>CALL-2026-0142</t>
        </is>
      </c>
      <c r="I8" s="2" t="n">
        <v>78</v>
      </c>
      <c r="J8" s="2" t="n">
        <v>72</v>
      </c>
      <c r="K8" s="2" t="n">
        <v>80</v>
      </c>
      <c r="L8" s="2" t="n">
        <v>75</v>
      </c>
      <c r="M8" s="2" t="n">
        <v>70</v>
      </c>
      <c r="N8" s="2" t="n">
        <v>82</v>
      </c>
      <c r="O8" s="2">
        <f>ROUND((I8*0.2)+(J8*0.15)+(K8*0.15)+(L8*0.15)+(M8*0.15)+(N8*0.2),0)</f>
        <v/>
      </c>
      <c r="P8" s="2">
        <f>IF(O8&gt;=90,"Exceeds",IF(O8&gt;=70,"Meets",IF(O8&gt;=50,"Below","Failing")))</f>
        <v/>
      </c>
      <c r="Q8" s="2" t="inlineStr">
        <is>
          <t>Yes</t>
        </is>
      </c>
      <c r="R8" s="10" t="n">
        <v>46058</v>
      </c>
      <c r="S8" s="2" t="inlineStr">
        <is>
          <t>Focus on script adherence</t>
        </is>
      </c>
      <c r="T8" s="2" t="inlineStr">
        <is>
          <t>No</t>
        </is>
      </c>
      <c r="U8" s="10" t="n"/>
    </row>
    <row r="9">
      <c r="A9" s="4" t="inlineStr">
        <is>
          <t>EMP-005</t>
        </is>
      </c>
      <c r="B9" s="4" t="inlineStr">
        <is>
          <t>Ashley Williams</t>
        </is>
      </c>
      <c r="C9" s="4" t="inlineStr">
        <is>
          <t>Customer Service Rep</t>
        </is>
      </c>
      <c r="D9" s="4" t="inlineStr">
        <is>
          <t>James Mitchell</t>
        </is>
      </c>
      <c r="E9" s="11" t="n">
        <v>46070</v>
      </c>
      <c r="F9" s="4" t="inlineStr">
        <is>
          <t>Month</t>
        </is>
      </c>
      <c r="G9" s="4" t="inlineStr">
        <is>
          <t>Jennifer Okafor</t>
        </is>
      </c>
      <c r="H9" s="4" t="inlineStr">
        <is>
          <t>CALL-2026-0245</t>
        </is>
      </c>
      <c r="I9" s="4" t="n">
        <v>82</v>
      </c>
      <c r="J9" s="4" t="n">
        <v>78</v>
      </c>
      <c r="K9" s="4" t="n">
        <v>84</v>
      </c>
      <c r="L9" s="4" t="n">
        <v>80</v>
      </c>
      <c r="M9" s="4" t="n">
        <v>75</v>
      </c>
      <c r="N9" s="4" t="n">
        <v>85</v>
      </c>
      <c r="O9" s="4">
        <f>ROUND((I9*0.2)+(J9*0.15)+(K9*0.15)+(L9*0.15)+(M9*0.15)+(N9*0.2),0)</f>
        <v/>
      </c>
      <c r="P9" s="4">
        <f>IF(O9&gt;=90,"Exceeds",IF(O9&gt;=70,"Meets",IF(O9&gt;=50,"Below","Failing")))</f>
        <v/>
      </c>
      <c r="Q9" s="4" t="inlineStr">
        <is>
          <t>No</t>
        </is>
      </c>
      <c r="R9" s="11" t="n"/>
      <c r="S9" s="4" t="inlineStr">
        <is>
          <t>Improved since coaching</t>
        </is>
      </c>
      <c r="T9" s="4" t="inlineStr">
        <is>
          <t>No</t>
        </is>
      </c>
      <c r="U9" s="11" t="n"/>
    </row>
    <row r="10">
      <c r="A10" s="2" t="inlineStr">
        <is>
          <t>EMP-005</t>
        </is>
      </c>
      <c r="B10" s="2" t="inlineStr">
        <is>
          <t>Ashley Williams</t>
        </is>
      </c>
      <c r="C10" s="2" t="inlineStr">
        <is>
          <t>Customer Service Rep</t>
        </is>
      </c>
      <c r="D10" s="2" t="inlineStr">
        <is>
          <t>James Mitchell</t>
        </is>
      </c>
      <c r="E10" s="10" t="n">
        <v>46097</v>
      </c>
      <c r="F10" s="2" t="inlineStr">
        <is>
          <t>Month</t>
        </is>
      </c>
      <c r="G10" s="2" t="inlineStr">
        <is>
          <t>Jennifer Okafor</t>
        </is>
      </c>
      <c r="H10" s="2" t="inlineStr">
        <is>
          <t>CALL-2026-0501</t>
        </is>
      </c>
      <c r="I10" s="2" t="n">
        <v>85</v>
      </c>
      <c r="J10" s="2" t="n">
        <v>82</v>
      </c>
      <c r="K10" s="2" t="n">
        <v>87</v>
      </c>
      <c r="L10" s="2" t="n">
        <v>83</v>
      </c>
      <c r="M10" s="2" t="n">
        <v>80</v>
      </c>
      <c r="N10" s="2" t="n">
        <v>88</v>
      </c>
      <c r="O10" s="2">
        <f>ROUND((I10*0.2)+(J10*0.15)+(K10*0.15)+(L10*0.15)+(M10*0.15)+(N10*0.2),0)</f>
        <v/>
      </c>
      <c r="P10" s="2">
        <f>IF(O10&gt;=90,"Exceeds",IF(O10&gt;=70,"Meets",IF(O10&gt;=50,"Below","Failing")))</f>
        <v/>
      </c>
      <c r="Q10" s="2" t="inlineStr">
        <is>
          <t>No</t>
        </is>
      </c>
      <c r="R10" s="10" t="n"/>
      <c r="S10" s="2" t="inlineStr"/>
      <c r="T10" s="2" t="inlineStr">
        <is>
          <t>No</t>
        </is>
      </c>
      <c r="U10" s="10" t="n"/>
    </row>
    <row r="11">
      <c r="A11" s="4" t="inlineStr">
        <is>
          <t>EMP-006</t>
        </is>
      </c>
      <c r="B11" s="4" t="inlineStr">
        <is>
          <t>Michael Petrov</t>
        </is>
      </c>
      <c r="C11" s="4" t="inlineStr">
        <is>
          <t>Claims Processor</t>
        </is>
      </c>
      <c r="D11" s="4" t="inlineStr">
        <is>
          <t>Robert Kim</t>
        </is>
      </c>
      <c r="E11" s="11" t="n">
        <v>46056</v>
      </c>
      <c r="F11" s="4" t="inlineStr">
        <is>
          <t>Week</t>
        </is>
      </c>
      <c r="G11" s="4" t="inlineStr">
        <is>
          <t>Jennifer Okafor</t>
        </is>
      </c>
      <c r="H11" s="4" t="inlineStr">
        <is>
          <t>CLM-2026-0098</t>
        </is>
      </c>
      <c r="I11" s="4" t="n">
        <v>80</v>
      </c>
      <c r="J11" s="4" t="n">
        <v>78</v>
      </c>
      <c r="K11" s="4" t="n">
        <v>75</v>
      </c>
      <c r="L11" s="4" t="n">
        <v>82</v>
      </c>
      <c r="M11" s="4" t="n">
        <v>80</v>
      </c>
      <c r="N11" s="4" t="n">
        <v>88</v>
      </c>
      <c r="O11" s="4">
        <f>ROUND((I11*0.2)+(J11*0.15)+(K11*0.15)+(L11*0.15)+(M11*0.15)+(N11*0.2),0)</f>
        <v/>
      </c>
      <c r="P11" s="4">
        <f>IF(O11&gt;=90,"Exceeds",IF(O11&gt;=70,"Meets",IF(O11&gt;=50,"Below","Failing")))</f>
        <v/>
      </c>
      <c r="Q11" s="4" t="inlineStr">
        <is>
          <t>No</t>
        </is>
      </c>
      <c r="R11" s="11" t="n"/>
      <c r="S11" s="4" t="inlineStr"/>
      <c r="T11" s="4" t="inlineStr">
        <is>
          <t>No</t>
        </is>
      </c>
      <c r="U11" s="11" t="n"/>
    </row>
    <row r="12">
      <c r="A12" s="2" t="inlineStr">
        <is>
          <t>EMP-006</t>
        </is>
      </c>
      <c r="B12" s="2" t="inlineStr">
        <is>
          <t>Michael Petrov</t>
        </is>
      </c>
      <c r="C12" s="2" t="inlineStr">
        <is>
          <t>Claims Processor</t>
        </is>
      </c>
      <c r="D12" s="2" t="inlineStr">
        <is>
          <t>Robert Kim</t>
        </is>
      </c>
      <c r="E12" s="10" t="n">
        <v>46070</v>
      </c>
      <c r="F12" s="2" t="inlineStr">
        <is>
          <t>Month</t>
        </is>
      </c>
      <c r="G12" s="2" t="inlineStr">
        <is>
          <t>Jennifer Okafor</t>
        </is>
      </c>
      <c r="H12" s="2" t="inlineStr">
        <is>
          <t>CLM-2026-0201</t>
        </is>
      </c>
      <c r="I12" s="2" t="n">
        <v>82</v>
      </c>
      <c r="J12" s="2" t="n">
        <v>80</v>
      </c>
      <c r="K12" s="2" t="n">
        <v>78</v>
      </c>
      <c r="L12" s="2" t="n">
        <v>84</v>
      </c>
      <c r="M12" s="2" t="n">
        <v>82</v>
      </c>
      <c r="N12" s="2" t="n">
        <v>90</v>
      </c>
      <c r="O12" s="2">
        <f>ROUND((I12*0.2)+(J12*0.15)+(K12*0.15)+(L12*0.15)+(M12*0.15)+(N12*0.2),0)</f>
        <v/>
      </c>
      <c r="P12" s="2">
        <f>IF(O12&gt;=90,"Exceeds",IF(O12&gt;=70,"Meets",IF(O12&gt;=50,"Below","Failing")))</f>
        <v/>
      </c>
      <c r="Q12" s="2" t="inlineStr">
        <is>
          <t>No</t>
        </is>
      </c>
      <c r="R12" s="10" t="n"/>
      <c r="S12" s="2" t="inlineStr"/>
      <c r="T12" s="2" t="inlineStr">
        <is>
          <t>No</t>
        </is>
      </c>
      <c r="U12" s="10" t="n"/>
    </row>
    <row r="13">
      <c r="A13" s="4" t="inlineStr">
        <is>
          <t>EMP-006</t>
        </is>
      </c>
      <c r="B13" s="4" t="inlineStr">
        <is>
          <t>Michael Petrov</t>
        </is>
      </c>
      <c r="C13" s="4" t="inlineStr">
        <is>
          <t>Claims Processor</t>
        </is>
      </c>
      <c r="D13" s="4" t="inlineStr">
        <is>
          <t>Robert Kim</t>
        </is>
      </c>
      <c r="E13" s="11" t="n">
        <v>46097</v>
      </c>
      <c r="F13" s="4" t="inlineStr">
        <is>
          <t>Month</t>
        </is>
      </c>
      <c r="G13" s="4" t="inlineStr">
        <is>
          <t>Jennifer Okafor</t>
        </is>
      </c>
      <c r="H13" s="4" t="inlineStr">
        <is>
          <t>CLM-2026-0345</t>
        </is>
      </c>
      <c r="I13" s="4" t="n">
        <v>84</v>
      </c>
      <c r="J13" s="4" t="n">
        <v>82</v>
      </c>
      <c r="K13" s="4" t="n">
        <v>80</v>
      </c>
      <c r="L13" s="4" t="n">
        <v>85</v>
      </c>
      <c r="M13" s="4" t="n">
        <v>84</v>
      </c>
      <c r="N13" s="4" t="n">
        <v>91</v>
      </c>
      <c r="O13" s="4">
        <f>ROUND((I13*0.2)+(J13*0.15)+(K13*0.15)+(L13*0.15)+(M13*0.15)+(N13*0.2),0)</f>
        <v/>
      </c>
      <c r="P13" s="4">
        <f>IF(O13&gt;=90,"Exceeds",IF(O13&gt;=70,"Meets",IF(O13&gt;=50,"Below","Failing")))</f>
        <v/>
      </c>
      <c r="Q13" s="4" t="inlineStr">
        <is>
          <t>No</t>
        </is>
      </c>
      <c r="R13" s="11" t="n"/>
      <c r="S13" s="4" t="inlineStr"/>
      <c r="T13" s="4" t="inlineStr">
        <is>
          <t>No</t>
        </is>
      </c>
      <c r="U13" s="11" t="n"/>
    </row>
    <row r="14">
      <c r="A14" s="2" t="inlineStr">
        <is>
          <t>EMP-007</t>
        </is>
      </c>
      <c r="B14" s="2" t="inlineStr">
        <is>
          <t>Tameka Johnson</t>
        </is>
      </c>
      <c r="C14" s="2" t="inlineStr">
        <is>
          <t>Customer Service Rep</t>
        </is>
      </c>
      <c r="D14" s="2" t="inlineStr">
        <is>
          <t>James Mitchell</t>
        </is>
      </c>
      <c r="E14" s="10" t="n">
        <v>46069</v>
      </c>
      <c r="F14" s="2" t="inlineStr">
        <is>
          <t>Week</t>
        </is>
      </c>
      <c r="G14" s="2" t="inlineStr">
        <is>
          <t>Jennifer Okafor</t>
        </is>
      </c>
      <c r="H14" s="2" t="inlineStr">
        <is>
          <t>CALL-2026-0220</t>
        </is>
      </c>
      <c r="I14" s="2" t="n">
        <v>90</v>
      </c>
      <c r="J14" s="2" t="n">
        <v>88</v>
      </c>
      <c r="K14" s="2" t="n">
        <v>92</v>
      </c>
      <c r="L14" s="2" t="n">
        <v>87</v>
      </c>
      <c r="M14" s="2" t="n">
        <v>85</v>
      </c>
      <c r="N14" s="2" t="n">
        <v>90</v>
      </c>
      <c r="O14" s="2">
        <f>ROUND((I14*0.2)+(J14*0.15)+(K14*0.15)+(L14*0.15)+(M14*0.15)+(N14*0.2),0)</f>
        <v/>
      </c>
      <c r="P14" s="2">
        <f>IF(O14&gt;=90,"Exceeds",IF(O14&gt;=70,"Meets",IF(O14&gt;=50,"Below","Failing")))</f>
        <v/>
      </c>
      <c r="Q14" s="2" t="inlineStr">
        <is>
          <t>No</t>
        </is>
      </c>
      <c r="R14" s="10" t="n"/>
      <c r="S14" s="2" t="inlineStr"/>
      <c r="T14" s="2" t="inlineStr">
        <is>
          <t>No</t>
        </is>
      </c>
      <c r="U14" s="10" t="n"/>
    </row>
    <row r="15">
      <c r="A15" s="14" t="inlineStr">
        <is>
          <t>EMP-007</t>
        </is>
      </c>
      <c r="B15" s="14" t="inlineStr">
        <is>
          <t>Tameka Johnson</t>
        </is>
      </c>
      <c r="C15" s="14" t="inlineStr">
        <is>
          <t>Customer Service Rep</t>
        </is>
      </c>
      <c r="D15" s="14" t="inlineStr">
        <is>
          <t>James Mitchell</t>
        </is>
      </c>
      <c r="E15" s="15" t="n">
        <v>46097</v>
      </c>
      <c r="F15" s="14" t="inlineStr">
        <is>
          <t>Month</t>
        </is>
      </c>
      <c r="G15" s="14" t="inlineStr">
        <is>
          <t>Jennifer Okafor</t>
        </is>
      </c>
      <c r="H15" s="14" t="inlineStr">
        <is>
          <t>CALL-2026-0478</t>
        </is>
      </c>
      <c r="I15" s="14" t="n">
        <v>92</v>
      </c>
      <c r="J15" s="14" t="n">
        <v>90</v>
      </c>
      <c r="K15" s="14" t="n">
        <v>94</v>
      </c>
      <c r="L15" s="14" t="n">
        <v>89</v>
      </c>
      <c r="M15" s="14" t="n">
        <v>88</v>
      </c>
      <c r="N15" s="14" t="n">
        <v>92</v>
      </c>
      <c r="O15" s="14">
        <f>ROUND((I15*0.2)+(J15*0.15)+(K15*0.15)+(L15*0.15)+(M15*0.15)+(N15*0.2),0)</f>
        <v/>
      </c>
      <c r="P15" s="14">
        <f>IF(O15&gt;=90,"Exceeds",IF(O15&gt;=70,"Meets",IF(O15&gt;=50,"Below","Failing")))</f>
        <v/>
      </c>
      <c r="Q15" s="14" t="inlineStr">
        <is>
          <t>No</t>
        </is>
      </c>
      <c r="R15" s="15" t="n"/>
      <c r="S15" s="14" t="inlineStr"/>
      <c r="T15" s="14" t="inlineStr">
        <is>
          <t>No</t>
        </is>
      </c>
      <c r="U15" s="15" t="n"/>
    </row>
    <row r="16">
      <c r="A16" s="14" t="inlineStr">
        <is>
          <t>EMP-007</t>
        </is>
      </c>
      <c r="B16" s="14" t="inlineStr">
        <is>
          <t>Tameka Johnson</t>
        </is>
      </c>
      <c r="C16" s="14" t="inlineStr">
        <is>
          <t>Customer Service Rep</t>
        </is>
      </c>
      <c r="D16" s="14" t="inlineStr">
        <is>
          <t>James Mitchell</t>
        </is>
      </c>
      <c r="E16" s="15" t="n">
        <v>46125</v>
      </c>
      <c r="F16" s="14" t="inlineStr">
        <is>
          <t>Month</t>
        </is>
      </c>
      <c r="G16" s="14" t="inlineStr">
        <is>
          <t>Jennifer Okafor</t>
        </is>
      </c>
      <c r="H16" s="14" t="inlineStr">
        <is>
          <t>CALL-2026-0612</t>
        </is>
      </c>
      <c r="I16" s="14" t="n">
        <v>93</v>
      </c>
      <c r="J16" s="14" t="n">
        <v>91</v>
      </c>
      <c r="K16" s="14" t="n">
        <v>95</v>
      </c>
      <c r="L16" s="14" t="n">
        <v>90</v>
      </c>
      <c r="M16" s="14" t="n">
        <v>89</v>
      </c>
      <c r="N16" s="14" t="n">
        <v>93</v>
      </c>
      <c r="O16" s="14">
        <f>ROUND((I16*0.2)+(J16*0.15)+(K16*0.15)+(L16*0.15)+(M16*0.15)+(N16*0.2),0)</f>
        <v/>
      </c>
      <c r="P16" s="14">
        <f>IF(O16&gt;=90,"Exceeds",IF(O16&gt;=70,"Meets",IF(O16&gt;=50,"Below","Failing")))</f>
        <v/>
      </c>
      <c r="Q16" s="14" t="inlineStr">
        <is>
          <t>No</t>
        </is>
      </c>
      <c r="R16" s="15" t="n"/>
      <c r="S16" s="14" t="inlineStr"/>
      <c r="T16" s="14" t="inlineStr">
        <is>
          <t>No</t>
        </is>
      </c>
      <c r="U16" s="15" t="n"/>
    </row>
    <row r="17">
      <c r="A17" s="14" t="inlineStr">
        <is>
          <t>EMP-008</t>
        </is>
      </c>
      <c r="B17" s="14" t="inlineStr">
        <is>
          <t>Christopher Hernandez</t>
        </is>
      </c>
      <c r="C17" s="14" t="inlineStr">
        <is>
          <t>IT Support Specialist</t>
        </is>
      </c>
      <c r="D17" s="14" t="inlineStr">
        <is>
          <t>Patricia Nguyen</t>
        </is>
      </c>
      <c r="E17" s="15" t="n">
        <v>46042</v>
      </c>
      <c r="F17" s="14" t="inlineStr">
        <is>
          <t>Week</t>
        </is>
      </c>
      <c r="G17" s="14" t="inlineStr">
        <is>
          <t>Patricia Nguyen</t>
        </is>
      </c>
      <c r="H17" s="14" t="inlineStr">
        <is>
          <t>TKT-2026-0033</t>
        </is>
      </c>
      <c r="I17" s="14" t="n">
        <v>95</v>
      </c>
      <c r="J17" s="14" t="n">
        <v>92</v>
      </c>
      <c r="K17" s="14" t="n">
        <v>88</v>
      </c>
      <c r="L17" s="14" t="n">
        <v>94</v>
      </c>
      <c r="M17" s="14" t="n">
        <v>90</v>
      </c>
      <c r="N17" s="14" t="n">
        <v>96</v>
      </c>
      <c r="O17" s="14">
        <f>ROUND((I17*0.2)+(J17*0.15)+(K17*0.15)+(L17*0.15)+(M17*0.15)+(N17*0.2),0)</f>
        <v/>
      </c>
      <c r="P17" s="14">
        <f>IF(O17&gt;=90,"Exceeds",IF(O17&gt;=70,"Meets",IF(O17&gt;=50,"Below","Failing")))</f>
        <v/>
      </c>
      <c r="Q17" s="14" t="inlineStr">
        <is>
          <t>No</t>
        </is>
      </c>
      <c r="R17" s="15" t="n"/>
      <c r="S17" s="14" t="inlineStr"/>
      <c r="T17" s="14" t="inlineStr">
        <is>
          <t>No</t>
        </is>
      </c>
      <c r="U17" s="15" t="n"/>
    </row>
    <row r="18">
      <c r="A18" s="14" t="inlineStr">
        <is>
          <t>EMP-008</t>
        </is>
      </c>
      <c r="B18" s="14" t="inlineStr">
        <is>
          <t>Christopher Hernandez</t>
        </is>
      </c>
      <c r="C18" s="14" t="inlineStr">
        <is>
          <t>IT Support Specialist</t>
        </is>
      </c>
      <c r="D18" s="14" t="inlineStr">
        <is>
          <t>Patricia Nguyen</t>
        </is>
      </c>
      <c r="E18" s="15" t="n">
        <v>46070</v>
      </c>
      <c r="F18" s="14" t="inlineStr">
        <is>
          <t>Month</t>
        </is>
      </c>
      <c r="G18" s="14" t="inlineStr">
        <is>
          <t>Patricia Nguyen</t>
        </is>
      </c>
      <c r="H18" s="14" t="inlineStr">
        <is>
          <t>TKT-2026-0178</t>
        </is>
      </c>
      <c r="I18" s="14" t="n">
        <v>96</v>
      </c>
      <c r="J18" s="14" t="n">
        <v>94</v>
      </c>
      <c r="K18" s="14" t="n">
        <v>90</v>
      </c>
      <c r="L18" s="14" t="n">
        <v>95</v>
      </c>
      <c r="M18" s="14" t="n">
        <v>92</v>
      </c>
      <c r="N18" s="14" t="n">
        <v>97</v>
      </c>
      <c r="O18" s="14">
        <f>ROUND((I18*0.2)+(J18*0.15)+(K18*0.15)+(L18*0.15)+(M18*0.15)+(N18*0.2),0)</f>
        <v/>
      </c>
      <c r="P18" s="14">
        <f>IF(O18&gt;=90,"Exceeds",IF(O18&gt;=70,"Meets",IF(O18&gt;=50,"Below","Failing")))</f>
        <v/>
      </c>
      <c r="Q18" s="14" t="inlineStr">
        <is>
          <t>No</t>
        </is>
      </c>
      <c r="R18" s="15" t="n"/>
      <c r="S18" s="14" t="inlineStr"/>
      <c r="T18" s="14" t="inlineStr">
        <is>
          <t>No</t>
        </is>
      </c>
      <c r="U18" s="15" t="n"/>
    </row>
    <row r="19">
      <c r="A19" s="14" t="inlineStr">
        <is>
          <t>EMP-008</t>
        </is>
      </c>
      <c r="B19" s="14" t="inlineStr">
        <is>
          <t>Christopher Hernandez</t>
        </is>
      </c>
      <c r="C19" s="14" t="inlineStr">
        <is>
          <t>IT Support Specialist</t>
        </is>
      </c>
      <c r="D19" s="14" t="inlineStr">
        <is>
          <t>Patricia Nguyen</t>
        </is>
      </c>
      <c r="E19" s="15" t="n">
        <v>46097</v>
      </c>
      <c r="F19" s="14" t="inlineStr">
        <is>
          <t>Month</t>
        </is>
      </c>
      <c r="G19" s="14" t="inlineStr">
        <is>
          <t>Patricia Nguyen</t>
        </is>
      </c>
      <c r="H19" s="14" t="inlineStr">
        <is>
          <t>TKT-2026-0290</t>
        </is>
      </c>
      <c r="I19" s="14" t="n">
        <v>97</v>
      </c>
      <c r="J19" s="14" t="n">
        <v>95</v>
      </c>
      <c r="K19" s="14" t="n">
        <v>91</v>
      </c>
      <c r="L19" s="14" t="n">
        <v>96</v>
      </c>
      <c r="M19" s="14" t="n">
        <v>93</v>
      </c>
      <c r="N19" s="14" t="n">
        <v>98</v>
      </c>
      <c r="O19" s="14">
        <f>ROUND((I19*0.2)+(J19*0.15)+(K19*0.15)+(L19*0.15)+(M19*0.15)+(N19*0.2),0)</f>
        <v/>
      </c>
      <c r="P19" s="14">
        <f>IF(O19&gt;=90,"Exceeds",IF(O19&gt;=70,"Meets",IF(O19&gt;=50,"Below","Failing")))</f>
        <v/>
      </c>
      <c r="Q19" s="14" t="inlineStr">
        <is>
          <t>No</t>
        </is>
      </c>
      <c r="R19" s="15" t="n"/>
      <c r="S19" s="14" t="inlineStr"/>
      <c r="T19" s="14" t="inlineStr">
        <is>
          <t>No</t>
        </is>
      </c>
      <c r="U19" s="15" t="n"/>
    </row>
    <row r="20">
      <c r="A20" s="16" t="inlineStr">
        <is>
          <t>EMP-013</t>
        </is>
      </c>
      <c r="B20" s="16" t="inlineStr">
        <is>
          <t>Rachel Cooper</t>
        </is>
      </c>
      <c r="C20" s="16" t="inlineStr">
        <is>
          <t>Customer Service Rep</t>
        </is>
      </c>
      <c r="D20" s="16" t="inlineStr">
        <is>
          <t>James Mitchell</t>
        </is>
      </c>
      <c r="E20" s="17" t="n">
        <v>46069</v>
      </c>
      <c r="F20" s="16" t="inlineStr">
        <is>
          <t>Week</t>
        </is>
      </c>
      <c r="G20" s="16" t="inlineStr">
        <is>
          <t>Jennifer Okafor</t>
        </is>
      </c>
      <c r="H20" s="16" t="inlineStr">
        <is>
          <t>CALL-2026-0215</t>
        </is>
      </c>
      <c r="I20" s="16" t="n">
        <v>60</v>
      </c>
      <c r="J20" s="16" t="n">
        <v>55</v>
      </c>
      <c r="K20" s="16" t="n">
        <v>65</v>
      </c>
      <c r="L20" s="16" t="n">
        <v>58</v>
      </c>
      <c r="M20" s="16" t="n">
        <v>50</v>
      </c>
      <c r="N20" s="16" t="n">
        <v>72</v>
      </c>
      <c r="O20" s="16">
        <f>ROUND((I20*0.2)+(J20*0.15)+(K20*0.15)+(L20*0.15)+(M20*0.15)+(N20*0.2),0)</f>
        <v/>
      </c>
      <c r="P20" s="16">
        <f>IF(O20&gt;=90,"Exceeds",IF(O20&gt;=70,"Meets",IF(O20&gt;=50,"Below","Failing")))</f>
        <v/>
      </c>
      <c r="Q20" s="16" t="inlineStr">
        <is>
          <t>Yes</t>
        </is>
      </c>
      <c r="R20" s="17" t="n">
        <v>46071</v>
      </c>
      <c r="S20" s="16" t="inlineStr">
        <is>
          <t>Significant improvement needed all areas</t>
        </is>
      </c>
      <c r="T20" s="16" t="inlineStr">
        <is>
          <t>Yes</t>
        </is>
      </c>
      <c r="U20" s="17" t="n">
        <v>46083</v>
      </c>
    </row>
    <row r="21">
      <c r="A21" s="16" t="inlineStr">
        <is>
          <t>EMP-013</t>
        </is>
      </c>
      <c r="B21" s="16" t="inlineStr">
        <is>
          <t>Rachel Cooper</t>
        </is>
      </c>
      <c r="C21" s="16" t="inlineStr">
        <is>
          <t>Customer Service Rep</t>
        </is>
      </c>
      <c r="D21" s="16" t="inlineStr">
        <is>
          <t>James Mitchell</t>
        </is>
      </c>
      <c r="E21" s="17" t="n">
        <v>46083</v>
      </c>
      <c r="F21" s="16" t="inlineStr">
        <is>
          <t>Month</t>
        </is>
      </c>
      <c r="G21" s="16" t="inlineStr">
        <is>
          <t>Jennifer Okafor</t>
        </is>
      </c>
      <c r="H21" s="16" t="inlineStr">
        <is>
          <t>CALL-2026-0380</t>
        </is>
      </c>
      <c r="I21" s="16" t="n">
        <v>62</v>
      </c>
      <c r="J21" s="16" t="n">
        <v>58</v>
      </c>
      <c r="K21" s="16" t="n">
        <v>67</v>
      </c>
      <c r="L21" s="16" t="n">
        <v>60</v>
      </c>
      <c r="M21" s="16" t="n">
        <v>52</v>
      </c>
      <c r="N21" s="16" t="n">
        <v>74</v>
      </c>
      <c r="O21" s="16">
        <f>ROUND((I21*0.2)+(J21*0.15)+(K21*0.15)+(L21*0.15)+(M21*0.15)+(N21*0.2),0)</f>
        <v/>
      </c>
      <c r="P21" s="16">
        <f>IF(O21&gt;=90,"Exceeds",IF(O21&gt;=70,"Meets",IF(O21&gt;=50,"Below","Failing")))</f>
        <v/>
      </c>
      <c r="Q21" s="16" t="inlineStr">
        <is>
          <t>Yes</t>
        </is>
      </c>
      <c r="R21" s="17" t="n">
        <v>46085</v>
      </c>
      <c r="S21" s="16" t="inlineStr">
        <is>
          <t>Minimal improvement; PIP initiated</t>
        </is>
      </c>
      <c r="T21" s="16" t="inlineStr">
        <is>
          <t>Yes</t>
        </is>
      </c>
      <c r="U21" s="17" t="n">
        <v>46097</v>
      </c>
    </row>
    <row r="22">
      <c r="A22" s="18" t="inlineStr">
        <is>
          <t>EMP-014</t>
        </is>
      </c>
      <c r="B22" s="18" t="inlineStr">
        <is>
          <t>Kevin Washington</t>
        </is>
      </c>
      <c r="C22" s="18" t="inlineStr">
        <is>
          <t>Customer Service Rep</t>
        </is>
      </c>
      <c r="D22" s="18" t="inlineStr">
        <is>
          <t>James Mitchell</t>
        </is>
      </c>
      <c r="E22" s="19" t="n">
        <v>46048</v>
      </c>
      <c r="F22" s="18" t="inlineStr">
        <is>
          <t>Week</t>
        </is>
      </c>
      <c r="G22" s="18" t="inlineStr">
        <is>
          <t>Jennifer Okafor</t>
        </is>
      </c>
      <c r="H22" s="18" t="inlineStr">
        <is>
          <t>CALL-2026-0120</t>
        </is>
      </c>
      <c r="I22" s="18" t="n">
        <v>45</v>
      </c>
      <c r="J22" s="18" t="n">
        <v>40</v>
      </c>
      <c r="K22" s="18" t="n">
        <v>50</v>
      </c>
      <c r="L22" s="18" t="n">
        <v>42</v>
      </c>
      <c r="M22" s="18" t="n">
        <v>38</v>
      </c>
      <c r="N22" s="18" t="n">
        <v>55</v>
      </c>
      <c r="O22" s="18">
        <f>ROUND((I22*0.2)+(J22*0.15)+(K22*0.15)+(L22*0.15)+(M22*0.15)+(N22*0.2),0)</f>
        <v/>
      </c>
      <c r="P22" s="18">
        <f>IF(O22&gt;=90,"Exceeds",IF(O22&gt;=70,"Meets",IF(O22&gt;=50,"Below","Failing")))</f>
        <v/>
      </c>
      <c r="Q22" s="18" t="inlineStr">
        <is>
          <t>Yes</t>
        </is>
      </c>
      <c r="R22" s="19" t="n">
        <v>46050</v>
      </c>
      <c r="S22" s="18" t="inlineStr">
        <is>
          <t>Failing across all metrics</t>
        </is>
      </c>
      <c r="T22" s="18" t="inlineStr">
        <is>
          <t>Yes</t>
        </is>
      </c>
      <c r="U22" s="19" t="n">
        <v>46062</v>
      </c>
    </row>
    <row r="23">
      <c r="A23" s="18" t="inlineStr">
        <is>
          <t>EMP-014</t>
        </is>
      </c>
      <c r="B23" s="18" t="inlineStr">
        <is>
          <t>Kevin Washington</t>
        </is>
      </c>
      <c r="C23" s="18" t="inlineStr">
        <is>
          <t>Customer Service Rep</t>
        </is>
      </c>
      <c r="D23" s="18" t="inlineStr">
        <is>
          <t>James Mitchell</t>
        </is>
      </c>
      <c r="E23" s="19" t="n">
        <v>46062</v>
      </c>
      <c r="F23" s="18" t="inlineStr">
        <is>
          <t>Month</t>
        </is>
      </c>
      <c r="G23" s="18" t="inlineStr">
        <is>
          <t>Jennifer Okafor</t>
        </is>
      </c>
      <c r="H23" s="18" t="inlineStr">
        <is>
          <t>CALL-2026-0198</t>
        </is>
      </c>
      <c r="I23" s="18" t="n">
        <v>48</v>
      </c>
      <c r="J23" s="18" t="n">
        <v>42</v>
      </c>
      <c r="K23" s="18" t="n">
        <v>52</v>
      </c>
      <c r="L23" s="18" t="n">
        <v>45</v>
      </c>
      <c r="M23" s="18" t="n">
        <v>40</v>
      </c>
      <c r="N23" s="18" t="n">
        <v>58</v>
      </c>
      <c r="O23" s="18">
        <f>ROUND((I23*0.2)+(J23*0.15)+(K23*0.15)+(L23*0.15)+(M23*0.15)+(N23*0.2),0)</f>
        <v/>
      </c>
      <c r="P23" s="18">
        <f>IF(O23&gt;=90,"Exceeds",IF(O23&gt;=70,"Meets",IF(O23&gt;=50,"Below","Failing")))</f>
        <v/>
      </c>
      <c r="Q23" s="18" t="inlineStr">
        <is>
          <t>Yes</t>
        </is>
      </c>
      <c r="R23" s="19" t="n">
        <v>46064</v>
      </c>
      <c r="S23" s="18" t="inlineStr">
        <is>
          <t>No improvement; termination recommended</t>
        </is>
      </c>
      <c r="T23" s="18" t="inlineStr">
        <is>
          <t>Yes</t>
        </is>
      </c>
      <c r="U23" s="19" t="n">
        <v>46073</v>
      </c>
    </row>
    <row r="24">
      <c r="A24" s="2" t="inlineStr">
        <is>
          <t>EMP-016</t>
        </is>
      </c>
      <c r="B24" s="2" t="inlineStr">
        <is>
          <t>Timothy Foster</t>
        </is>
      </c>
      <c r="C24" s="2" t="inlineStr">
        <is>
          <t>Customer Service Rep</t>
        </is>
      </c>
      <c r="D24" s="2" t="inlineStr">
        <is>
          <t>James Mitchell</t>
        </is>
      </c>
      <c r="E24" s="10" t="n">
        <v>46111</v>
      </c>
      <c r="F24" s="2" t="inlineStr">
        <is>
          <t>Week</t>
        </is>
      </c>
      <c r="G24" s="2" t="inlineStr">
        <is>
          <t>Jennifer Okafor</t>
        </is>
      </c>
      <c r="H24" s="2" t="inlineStr">
        <is>
          <t>CALL-2026-0550</t>
        </is>
      </c>
      <c r="I24" s="2" t="n">
        <v>75</v>
      </c>
      <c r="J24" s="2" t="n">
        <v>70</v>
      </c>
      <c r="K24" s="2" t="n">
        <v>78</v>
      </c>
      <c r="L24" s="2" t="n">
        <v>72</v>
      </c>
      <c r="M24" s="2" t="n">
        <v>68</v>
      </c>
      <c r="N24" s="2" t="n">
        <v>80</v>
      </c>
      <c r="O24" s="2">
        <f>ROUND((I24*0.2)+(J24*0.15)+(K24*0.15)+(L24*0.15)+(M24*0.15)+(N24*0.2),0)</f>
        <v/>
      </c>
      <c r="P24" s="2">
        <f>IF(O24&gt;=90,"Exceeds",IF(O24&gt;=70,"Meets",IF(O24&gt;=50,"Below","Failing")))</f>
        <v/>
      </c>
      <c r="Q24" s="2" t="inlineStr">
        <is>
          <t>Yes</t>
        </is>
      </c>
      <c r="R24" s="10" t="n">
        <v>46113</v>
      </c>
      <c r="S24" s="2" t="inlineStr">
        <is>
          <t>New hire - needs script adherence coaching</t>
        </is>
      </c>
      <c r="T24" s="2" t="inlineStr">
        <is>
          <t>No</t>
        </is>
      </c>
      <c r="U24" s="10" t="n"/>
    </row>
    <row r="25">
      <c r="A25" s="4" t="inlineStr">
        <is>
          <t>EMP-016</t>
        </is>
      </c>
      <c r="B25" s="4" t="inlineStr">
        <is>
          <t>Timothy Foster</t>
        </is>
      </c>
      <c r="C25" s="4" t="inlineStr">
        <is>
          <t>Customer Service Rep</t>
        </is>
      </c>
      <c r="D25" s="4" t="inlineStr">
        <is>
          <t>James Mitchell</t>
        </is>
      </c>
      <c r="E25" s="11" t="n">
        <v>46125</v>
      </c>
      <c r="F25" s="4" t="inlineStr">
        <is>
          <t>Month</t>
        </is>
      </c>
      <c r="G25" s="4" t="inlineStr">
        <is>
          <t>Jennifer Okafor</t>
        </is>
      </c>
      <c r="H25" s="4" t="inlineStr">
        <is>
          <t>CALL-2026-0620</t>
        </is>
      </c>
      <c r="I25" s="4" t="n">
        <v>80</v>
      </c>
      <c r="J25" s="4" t="n">
        <v>76</v>
      </c>
      <c r="K25" s="4" t="n">
        <v>82</v>
      </c>
      <c r="L25" s="4" t="n">
        <v>78</v>
      </c>
      <c r="M25" s="4" t="n">
        <v>74</v>
      </c>
      <c r="N25" s="4" t="n">
        <v>84</v>
      </c>
      <c r="O25" s="4">
        <f>ROUND((I25*0.2)+(J25*0.15)+(K25*0.15)+(L25*0.15)+(M25*0.15)+(N25*0.2),0)</f>
        <v/>
      </c>
      <c r="P25" s="4">
        <f>IF(O25&gt;=90,"Exceeds",IF(O25&gt;=70,"Meets",IF(O25&gt;=50,"Below","Failing")))</f>
        <v/>
      </c>
      <c r="Q25" s="4" t="inlineStr">
        <is>
          <t>No</t>
        </is>
      </c>
      <c r="R25" s="11" t="n"/>
      <c r="S25" s="4" t="inlineStr">
        <is>
          <t>Improvement noted after coaching</t>
        </is>
      </c>
      <c r="T25" s="4" t="inlineStr">
        <is>
          <t>No</t>
        </is>
      </c>
      <c r="U25" s="11" t="n"/>
    </row>
    <row r="26">
      <c r="A26" s="14" t="inlineStr">
        <is>
          <t>EMP-004</t>
        </is>
      </c>
      <c r="B26" s="14" t="inlineStr">
        <is>
          <t>Robert Kim</t>
        </is>
      </c>
      <c r="C26" s="14" t="inlineStr">
        <is>
          <t>Team Lead</t>
        </is>
      </c>
      <c r="D26" s="14" t="inlineStr">
        <is>
          <t>Patricia Nguyen</t>
        </is>
      </c>
      <c r="E26" s="15" t="n">
        <v>46048</v>
      </c>
      <c r="F26" s="14" t="inlineStr">
        <is>
          <t>Week</t>
        </is>
      </c>
      <c r="G26" s="14" t="inlineStr">
        <is>
          <t>Patricia Nguyen</t>
        </is>
      </c>
      <c r="H26" s="14" t="inlineStr">
        <is>
          <t>SUP-2026-0010</t>
        </is>
      </c>
      <c r="I26" s="14" t="n">
        <v>92</v>
      </c>
      <c r="J26" s="14" t="n">
        <v>90</v>
      </c>
      <c r="K26" s="14" t="n">
        <v>88</v>
      </c>
      <c r="L26" s="14" t="n">
        <v>94</v>
      </c>
      <c r="M26" s="14" t="n">
        <v>92</v>
      </c>
      <c r="N26" s="14" t="n">
        <v>95</v>
      </c>
      <c r="O26" s="14">
        <f>ROUND((I26*0.2)+(J26*0.15)+(K26*0.15)+(L26*0.15)+(M26*0.15)+(N26*0.2),0)</f>
        <v/>
      </c>
      <c r="P26" s="14">
        <f>IF(O26&gt;=90,"Exceeds",IF(O26&gt;=70,"Meets",IF(O26&gt;=50,"Below","Failing")))</f>
        <v/>
      </c>
      <c r="Q26" s="14" t="inlineStr">
        <is>
          <t>No</t>
        </is>
      </c>
      <c r="R26" s="15" t="n"/>
      <c r="S26" s="14" t="inlineStr"/>
      <c r="T26" s="14" t="inlineStr">
        <is>
          <t>No</t>
        </is>
      </c>
      <c r="U26" s="15" t="n"/>
    </row>
    <row r="27">
      <c r="A27" s="14" t="inlineStr">
        <is>
          <t>EMP-004</t>
        </is>
      </c>
      <c r="B27" s="14" t="inlineStr">
        <is>
          <t>Robert Kim</t>
        </is>
      </c>
      <c r="C27" s="14" t="inlineStr">
        <is>
          <t>Team Lead</t>
        </is>
      </c>
      <c r="D27" s="14" t="inlineStr">
        <is>
          <t>Patricia Nguyen</t>
        </is>
      </c>
      <c r="E27" s="15" t="n">
        <v>46076</v>
      </c>
      <c r="F27" s="14" t="inlineStr">
        <is>
          <t>Month</t>
        </is>
      </c>
      <c r="G27" s="14" t="inlineStr">
        <is>
          <t>Patricia Nguyen</t>
        </is>
      </c>
      <c r="H27" s="14" t="inlineStr">
        <is>
          <t>SUP-2026-0045</t>
        </is>
      </c>
      <c r="I27" s="14" t="n">
        <v>93</v>
      </c>
      <c r="J27" s="14" t="n">
        <v>91</v>
      </c>
      <c r="K27" s="14" t="n">
        <v>90</v>
      </c>
      <c r="L27" s="14" t="n">
        <v>95</v>
      </c>
      <c r="M27" s="14" t="n">
        <v>93</v>
      </c>
      <c r="N27" s="14" t="n">
        <v>96</v>
      </c>
      <c r="O27" s="14">
        <f>ROUND((I27*0.2)+(J27*0.15)+(K27*0.15)+(L27*0.15)+(M27*0.15)+(N27*0.2),0)</f>
        <v/>
      </c>
      <c r="P27" s="14">
        <f>IF(O27&gt;=90,"Exceeds",IF(O27&gt;=70,"Meets",IF(O27&gt;=50,"Below","Failing")))</f>
        <v/>
      </c>
      <c r="Q27" s="14" t="inlineStr">
        <is>
          <t>No</t>
        </is>
      </c>
      <c r="R27" s="15" t="n"/>
      <c r="S27" s="14" t="inlineStr"/>
      <c r="T27" s="14" t="inlineStr">
        <is>
          <t>No</t>
        </is>
      </c>
      <c r="U27" s="15" t="n"/>
    </row>
    <row r="28">
      <c r="A28" s="14" t="inlineStr">
        <is>
          <t>EMP-004</t>
        </is>
      </c>
      <c r="B28" s="14" t="inlineStr">
        <is>
          <t>Robert Kim</t>
        </is>
      </c>
      <c r="C28" s="14" t="inlineStr">
        <is>
          <t>Team Lead</t>
        </is>
      </c>
      <c r="D28" s="14" t="inlineStr">
        <is>
          <t>Patricia Nguyen</t>
        </is>
      </c>
      <c r="E28" s="15" t="n">
        <v>46104</v>
      </c>
      <c r="F28" s="14" t="inlineStr">
        <is>
          <t>Month</t>
        </is>
      </c>
      <c r="G28" s="14" t="inlineStr">
        <is>
          <t>Patricia Nguyen</t>
        </is>
      </c>
      <c r="H28" s="14" t="inlineStr">
        <is>
          <t>SUP-2026-0078</t>
        </is>
      </c>
      <c r="I28" s="14" t="n">
        <v>94</v>
      </c>
      <c r="J28" s="14" t="n">
        <v>92</v>
      </c>
      <c r="K28" s="14" t="n">
        <v>91</v>
      </c>
      <c r="L28" s="14" t="n">
        <v>95</v>
      </c>
      <c r="M28" s="14" t="n">
        <v>94</v>
      </c>
      <c r="N28" s="14" t="n">
        <v>96</v>
      </c>
      <c r="O28" s="14">
        <f>ROUND((I28*0.2)+(J28*0.15)+(K28*0.15)+(L28*0.15)+(M28*0.15)+(N28*0.2),0)</f>
        <v/>
      </c>
      <c r="P28" s="14">
        <f>IF(O28&gt;=90,"Exceeds",IF(O28&gt;=70,"Meets",IF(O28&gt;=50,"Below","Failing")))</f>
        <v/>
      </c>
      <c r="Q28" s="14" t="inlineStr">
        <is>
          <t>No</t>
        </is>
      </c>
      <c r="R28" s="15" t="n"/>
      <c r="S28" s="14" t="inlineStr"/>
      <c r="T28" s="14" t="inlineStr">
        <is>
          <t>No</t>
        </is>
      </c>
      <c r="U28" s="15" t="n"/>
    </row>
    <row r="29">
      <c r="A29" s="4" t="inlineStr">
        <is>
          <t>EMP-020</t>
        </is>
      </c>
      <c r="B29" s="4" t="inlineStr">
        <is>
          <t>Marcus Robinson</t>
        </is>
      </c>
      <c r="C29" s="4" t="inlineStr">
        <is>
          <t>Team Lead</t>
        </is>
      </c>
      <c r="D29" s="4" t="inlineStr">
        <is>
          <t>Patricia Nguyen</t>
        </is>
      </c>
      <c r="E29" s="11" t="n">
        <v>46048</v>
      </c>
      <c r="F29" s="4" t="inlineStr">
        <is>
          <t>Week</t>
        </is>
      </c>
      <c r="G29" s="4" t="inlineStr">
        <is>
          <t>Patricia Nguyen</t>
        </is>
      </c>
      <c r="H29" s="4" t="inlineStr">
        <is>
          <t>SUP-2026-0012</t>
        </is>
      </c>
      <c r="I29" s="4" t="n">
        <v>88</v>
      </c>
      <c r="J29" s="4" t="n">
        <v>85</v>
      </c>
      <c r="K29" s="4" t="n">
        <v>86</v>
      </c>
      <c r="L29" s="4" t="n">
        <v>90</v>
      </c>
      <c r="M29" s="4" t="n">
        <v>88</v>
      </c>
      <c r="N29" s="4" t="n">
        <v>92</v>
      </c>
      <c r="O29" s="4">
        <f>ROUND((I29*0.2)+(J29*0.15)+(K29*0.15)+(L29*0.15)+(M29*0.15)+(N29*0.2),0)</f>
        <v/>
      </c>
      <c r="P29" s="4">
        <f>IF(O29&gt;=90,"Exceeds",IF(O29&gt;=70,"Meets",IF(O29&gt;=50,"Below","Failing")))</f>
        <v/>
      </c>
      <c r="Q29" s="4" t="inlineStr">
        <is>
          <t>No</t>
        </is>
      </c>
      <c r="R29" s="11" t="n"/>
      <c r="S29" s="4" t="inlineStr"/>
      <c r="T29" s="4" t="inlineStr">
        <is>
          <t>No</t>
        </is>
      </c>
      <c r="U29" s="11" t="n"/>
    </row>
    <row r="30">
      <c r="A30" s="14" t="inlineStr">
        <is>
          <t>EMP-020</t>
        </is>
      </c>
      <c r="B30" s="14" t="inlineStr">
        <is>
          <t>Marcus Robinson</t>
        </is>
      </c>
      <c r="C30" s="14" t="inlineStr">
        <is>
          <t>Team Lead</t>
        </is>
      </c>
      <c r="D30" s="14" t="inlineStr">
        <is>
          <t>Patricia Nguyen</t>
        </is>
      </c>
      <c r="E30" s="15" t="n">
        <v>46076</v>
      </c>
      <c r="F30" s="14" t="inlineStr">
        <is>
          <t>Month</t>
        </is>
      </c>
      <c r="G30" s="14" t="inlineStr">
        <is>
          <t>Patricia Nguyen</t>
        </is>
      </c>
      <c r="H30" s="14" t="inlineStr">
        <is>
          <t>SUP-2026-0048</t>
        </is>
      </c>
      <c r="I30" s="14" t="n">
        <v>90</v>
      </c>
      <c r="J30" s="14" t="n">
        <v>88</v>
      </c>
      <c r="K30" s="14" t="n">
        <v>88</v>
      </c>
      <c r="L30" s="14" t="n">
        <v>91</v>
      </c>
      <c r="M30" s="14" t="n">
        <v>90</v>
      </c>
      <c r="N30" s="14" t="n">
        <v>93</v>
      </c>
      <c r="O30" s="14">
        <f>ROUND((I30*0.2)+(J30*0.15)+(K30*0.15)+(L30*0.15)+(M30*0.15)+(N30*0.2),0)</f>
        <v/>
      </c>
      <c r="P30" s="14">
        <f>IF(O30&gt;=90,"Exceeds",IF(O30&gt;=70,"Meets",IF(O30&gt;=50,"Below","Failing")))</f>
        <v/>
      </c>
      <c r="Q30" s="14" t="inlineStr">
        <is>
          <t>No</t>
        </is>
      </c>
      <c r="R30" s="15" t="n"/>
      <c r="S30" s="14" t="inlineStr"/>
      <c r="T30" s="14" t="inlineStr">
        <is>
          <t>No</t>
        </is>
      </c>
      <c r="U30" s="15" t="n"/>
    </row>
    <row r="31">
      <c r="A31" s="14" t="inlineStr">
        <is>
          <t>EMP-020</t>
        </is>
      </c>
      <c r="B31" s="14" t="inlineStr">
        <is>
          <t>Marcus Robinson</t>
        </is>
      </c>
      <c r="C31" s="14" t="inlineStr">
        <is>
          <t>Team Lead</t>
        </is>
      </c>
      <c r="D31" s="14" t="inlineStr">
        <is>
          <t>Patricia Nguyen</t>
        </is>
      </c>
      <c r="E31" s="15" t="n">
        <v>46104</v>
      </c>
      <c r="F31" s="14" t="inlineStr">
        <is>
          <t>Month</t>
        </is>
      </c>
      <c r="G31" s="14" t="inlineStr">
        <is>
          <t>Patricia Nguyen</t>
        </is>
      </c>
      <c r="H31" s="14" t="inlineStr">
        <is>
          <t>SUP-2026-0080</t>
        </is>
      </c>
      <c r="I31" s="14" t="n">
        <v>91</v>
      </c>
      <c r="J31" s="14" t="n">
        <v>89</v>
      </c>
      <c r="K31" s="14" t="n">
        <v>89</v>
      </c>
      <c r="L31" s="14" t="n">
        <v>92</v>
      </c>
      <c r="M31" s="14" t="n">
        <v>91</v>
      </c>
      <c r="N31" s="14" t="n">
        <v>94</v>
      </c>
      <c r="O31" s="14">
        <f>ROUND((I31*0.2)+(J31*0.15)+(K31*0.15)+(L31*0.15)+(M31*0.15)+(N31*0.2),0)</f>
        <v/>
      </c>
      <c r="P31" s="14">
        <f>IF(O31&gt;=90,"Exceeds",IF(O31&gt;=70,"Meets",IF(O31&gt;=50,"Below","Failing")))</f>
        <v/>
      </c>
      <c r="Q31" s="14" t="inlineStr">
        <is>
          <t>No</t>
        </is>
      </c>
      <c r="R31" s="15" t="n"/>
      <c r="S31" s="14" t="inlineStr"/>
      <c r="T31" s="14" t="inlineStr">
        <is>
          <t>No</t>
        </is>
      </c>
      <c r="U31" s="15" t="n"/>
    </row>
  </sheetData>
  <dataValidations count="3">
    <dataValidation sqref="F2:F81" showDropDown="0" showInputMessage="0" showErrorMessage="0" allowBlank="1" type="list">
      <formula1>"Week,Month"</formula1>
    </dataValidation>
    <dataValidation sqref="Q2:Q81" showDropDown="0" showInputMessage="0" showErrorMessage="0" allowBlank="1" type="list">
      <formula1>"Yes,No"</formula1>
    </dataValidation>
    <dataValidation sqref="T2:T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4" customWidth="1" min="5" max="5"/>
    <col width="12" customWidth="1" min="6" max="6"/>
    <col width="10" customWidth="1" min="7" max="7"/>
    <col width="28" customWidth="1" min="8" max="8"/>
    <col width="14" customWidth="1" min="9" max="9"/>
    <col width="12" customWidth="1" min="10" max="10"/>
    <col width="10" customWidth="1" min="11" max="11"/>
    <col width="28" customWidth="1" min="12" max="12"/>
    <col width="14" customWidth="1" min="13" max="13"/>
    <col width="12" customWidth="1" min="14" max="14"/>
    <col width="10" customWidth="1" min="15" max="15"/>
    <col width="28" customWidth="1" min="16" max="16"/>
    <col width="12" customWidth="1" min="17" max="17"/>
    <col width="28" customWidth="1" min="18" max="18"/>
    <col width="28" customWidth="1" min="19" max="19"/>
    <col width="12" customWidth="1" min="20" max="20"/>
    <col width="14" customWidth="1" min="21" max="21"/>
    <col width="16" customWidth="1" min="22" max="22"/>
    <col width="14" customWidth="1" min="23" max="23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Start Date</t>
        </is>
      </c>
      <c r="E1" s="1" t="inlineStr">
        <is>
          <t>30-Day Check-In Date</t>
        </is>
      </c>
      <c r="F1" s="1" t="inlineStr">
        <is>
          <t>30-Day Check-In Completed</t>
        </is>
      </c>
      <c r="G1" s="1" t="inlineStr">
        <is>
          <t>30-Day Check-In Score</t>
        </is>
      </c>
      <c r="H1" s="1" t="inlineStr">
        <is>
          <t>30-Day Check-In Notes</t>
        </is>
      </c>
      <c r="I1" s="1" t="inlineStr">
        <is>
          <t>60-Day Check-In Date</t>
        </is>
      </c>
      <c r="J1" s="1" t="inlineStr">
        <is>
          <t>60-Day Check-In Completed</t>
        </is>
      </c>
      <c r="K1" s="1" t="inlineStr">
        <is>
          <t>60-Day Check-In Score</t>
        </is>
      </c>
      <c r="L1" s="1" t="inlineStr">
        <is>
          <t>60-Day Check-In Notes</t>
        </is>
      </c>
      <c r="M1" s="1" t="inlineStr">
        <is>
          <t>90-Day Check-In Date</t>
        </is>
      </c>
      <c r="N1" s="1" t="inlineStr">
        <is>
          <t>90-Day Check-In Completed</t>
        </is>
      </c>
      <c r="O1" s="1" t="inlineStr">
        <is>
          <t>90-Day Check-In Score</t>
        </is>
      </c>
      <c r="P1" s="1" t="inlineStr">
        <is>
          <t>90-Day Check-In Notes</t>
        </is>
      </c>
      <c r="Q1" s="1" t="inlineStr">
        <is>
          <t>Attrition Risk</t>
        </is>
      </c>
      <c r="R1" s="1" t="inlineStr">
        <is>
          <t>Risk Factors</t>
        </is>
      </c>
      <c r="S1" s="1" t="inlineStr">
        <is>
          <t>Retention Actions Taken</t>
        </is>
      </c>
      <c r="T1" s="1" t="inlineStr">
        <is>
          <t>Current Status</t>
        </is>
      </c>
      <c r="U1" s="1" t="inlineStr">
        <is>
          <t>Separation Date</t>
        </is>
      </c>
      <c r="V1" s="1" t="inlineStr">
        <is>
          <t>Separation Reason</t>
        </is>
      </c>
      <c r="W1" s="1" t="inlineStr">
        <is>
          <t>Exit Interview Completed</t>
        </is>
      </c>
    </row>
    <row r="2">
      <c r="A2" s="2" t="inlineStr">
        <is>
          <t>EMP-001</t>
        </is>
      </c>
      <c r="B2" s="2" t="inlineStr">
        <is>
          <t>Maria Santos</t>
        </is>
      </c>
      <c r="C2" s="2" t="inlineStr">
        <is>
          <t>Customer Service Rep</t>
        </is>
      </c>
      <c r="D2" s="10" t="n">
        <v>46027</v>
      </c>
      <c r="E2" s="10" t="n">
        <v>46057</v>
      </c>
      <c r="F2" s="2" t="inlineStr">
        <is>
          <t>Yes</t>
        </is>
      </c>
      <c r="G2" s="2" t="n">
        <v>4</v>
      </c>
      <c r="H2" s="2" t="inlineStr">
        <is>
          <t>Engaged; enjoys remote work</t>
        </is>
      </c>
      <c r="I2" s="10" t="n">
        <v>46087</v>
      </c>
      <c r="J2" s="2" t="inlineStr">
        <is>
          <t>Yes</t>
        </is>
      </c>
      <c r="K2" s="2" t="n">
        <v>4</v>
      </c>
      <c r="L2" s="2" t="inlineStr">
        <is>
          <t>Consistent performance</t>
        </is>
      </c>
      <c r="M2" s="10" t="n">
        <v>46117</v>
      </c>
      <c r="N2" s="2" t="inlineStr">
        <is>
          <t>Yes</t>
        </is>
      </c>
      <c r="O2" s="2" t="n">
        <v>5</v>
      </c>
      <c r="P2" s="2" t="inlineStr">
        <is>
          <t>Strong contributor</t>
        </is>
      </c>
      <c r="Q2" s="2" t="inlineStr">
        <is>
          <t>Low</t>
        </is>
      </c>
      <c r="R2" s="2" t="inlineStr">
        <is>
          <t>None identified</t>
        </is>
      </c>
      <c r="S2" s="2" t="inlineStr">
        <is>
          <t>Regular 1:1 meetings</t>
        </is>
      </c>
      <c r="T2" s="2" t="inlineStr">
        <is>
          <t>Active</t>
        </is>
      </c>
      <c r="U2" s="10" t="n"/>
      <c r="V2" s="2" t="n"/>
      <c r="W2" s="2" t="inlineStr">
        <is>
          <t>No</t>
        </is>
      </c>
    </row>
    <row r="3">
      <c r="A3" s="4" t="inlineStr">
        <is>
          <t>EMP-002</t>
        </is>
      </c>
      <c r="B3" s="4" t="inlineStr">
        <is>
          <t>David Thompson</t>
        </is>
      </c>
      <c r="C3" s="4" t="inlineStr">
        <is>
          <t>Claims Processor</t>
        </is>
      </c>
      <c r="D3" s="11" t="n">
        <v>46027</v>
      </c>
      <c r="E3" s="11" t="n">
        <v>46057</v>
      </c>
      <c r="F3" s="4" t="inlineStr">
        <is>
          <t>Yes</t>
        </is>
      </c>
      <c r="G3" s="4" t="n">
        <v>4</v>
      </c>
      <c r="H3" s="4" t="inlineStr">
        <is>
          <t>Adapting well</t>
        </is>
      </c>
      <c r="I3" s="11" t="n">
        <v>46087</v>
      </c>
      <c r="J3" s="4" t="inlineStr">
        <is>
          <t>Yes</t>
        </is>
      </c>
      <c r="K3" s="4" t="n">
        <v>3</v>
      </c>
      <c r="L3" s="4" t="inlineStr">
        <is>
          <t>Some workload concerns</t>
        </is>
      </c>
      <c r="M3" s="11" t="n">
        <v>46117</v>
      </c>
      <c r="N3" s="4" t="inlineStr">
        <is>
          <t>Yes</t>
        </is>
      </c>
      <c r="O3" s="4" t="n">
        <v>4</v>
      </c>
      <c r="P3" s="4" t="inlineStr">
        <is>
          <t>Workload balanced</t>
        </is>
      </c>
      <c r="Q3" s="4" t="inlineStr">
        <is>
          <t>Low</t>
        </is>
      </c>
      <c r="R3" s="4" t="inlineStr">
        <is>
          <t>Minor workload concerns early</t>
        </is>
      </c>
      <c r="S3" s="4" t="inlineStr">
        <is>
          <t>Adjusted caseload</t>
        </is>
      </c>
      <c r="T3" s="4" t="inlineStr">
        <is>
          <t>Active</t>
        </is>
      </c>
      <c r="U3" s="11" t="n"/>
      <c r="V3" s="4" t="n"/>
      <c r="W3" s="4" t="inlineStr">
        <is>
          <t>No</t>
        </is>
      </c>
    </row>
    <row r="4">
      <c r="A4" s="2" t="inlineStr">
        <is>
          <t>EMP-003</t>
        </is>
      </c>
      <c r="B4" s="2" t="inlineStr">
        <is>
          <t>Jennifer Okafor</t>
        </is>
      </c>
      <c r="C4" s="2" t="inlineStr">
        <is>
          <t>Quality Analyst</t>
        </is>
      </c>
      <c r="D4" s="10" t="n">
        <v>46034</v>
      </c>
      <c r="E4" s="10" t="n">
        <v>46064</v>
      </c>
      <c r="F4" s="2" t="inlineStr">
        <is>
          <t>Yes</t>
        </is>
      </c>
      <c r="G4" s="2" t="n">
        <v>5</v>
      </c>
      <c r="H4" s="2" t="inlineStr">
        <is>
          <t>Excellent fit for QA role</t>
        </is>
      </c>
      <c r="I4" s="10" t="n">
        <v>46094</v>
      </c>
      <c r="J4" s="2" t="inlineStr">
        <is>
          <t>Yes</t>
        </is>
      </c>
      <c r="K4" s="2" t="n">
        <v>5</v>
      </c>
      <c r="L4" s="2" t="inlineStr">
        <is>
          <t>Exceeding expectations</t>
        </is>
      </c>
      <c r="M4" s="10" t="n">
        <v>46124</v>
      </c>
      <c r="N4" s="2" t="inlineStr">
        <is>
          <t>Yes</t>
        </is>
      </c>
      <c r="O4" s="2" t="n">
        <v>5</v>
      </c>
      <c r="P4" s="2" t="inlineStr">
        <is>
          <t>Top performer</t>
        </is>
      </c>
      <c r="Q4" s="2" t="inlineStr">
        <is>
          <t>Low</t>
        </is>
      </c>
      <c r="R4" s="2" t="inlineStr">
        <is>
          <t>None</t>
        </is>
      </c>
      <c r="S4" s="2" t="inlineStr">
        <is>
          <t>Career development discussion</t>
        </is>
      </c>
      <c r="T4" s="2" t="inlineStr">
        <is>
          <t>Active</t>
        </is>
      </c>
      <c r="U4" s="10" t="n"/>
      <c r="V4" s="2" t="n"/>
      <c r="W4" s="2" t="inlineStr">
        <is>
          <t>No</t>
        </is>
      </c>
    </row>
    <row r="5">
      <c r="A5" s="4" t="inlineStr">
        <is>
          <t>EMP-004</t>
        </is>
      </c>
      <c r="B5" s="4" t="inlineStr">
        <is>
          <t>Robert Kim</t>
        </is>
      </c>
      <c r="C5" s="4" t="inlineStr">
        <is>
          <t>Team Lead</t>
        </is>
      </c>
      <c r="D5" s="11" t="n">
        <v>46034</v>
      </c>
      <c r="E5" s="11" t="n">
        <v>46064</v>
      </c>
      <c r="F5" s="4" t="inlineStr">
        <is>
          <t>Yes</t>
        </is>
      </c>
      <c r="G5" s="4" t="n">
        <v>5</v>
      </c>
      <c r="H5" s="4" t="inlineStr">
        <is>
          <t>Strong leadership</t>
        </is>
      </c>
      <c r="I5" s="11" t="n">
        <v>46094</v>
      </c>
      <c r="J5" s="4" t="inlineStr">
        <is>
          <t>Yes</t>
        </is>
      </c>
      <c r="K5" s="4" t="n">
        <v>5</v>
      </c>
      <c r="L5" s="4" t="inlineStr">
        <is>
          <t>Team performing well</t>
        </is>
      </c>
      <c r="M5" s="11" t="n">
        <v>46124</v>
      </c>
      <c r="N5" s="4" t="inlineStr">
        <is>
          <t>Yes</t>
        </is>
      </c>
      <c r="O5" s="4" t="n">
        <v>5</v>
      </c>
      <c r="P5" s="4" t="inlineStr">
        <is>
          <t>Excellent retention</t>
        </is>
      </c>
      <c r="Q5" s="4" t="inlineStr">
        <is>
          <t>Low</t>
        </is>
      </c>
      <c r="R5" s="4" t="inlineStr">
        <is>
          <t>None</t>
        </is>
      </c>
      <c r="S5" s="4" t="inlineStr">
        <is>
          <t>Leadership training offered</t>
        </is>
      </c>
      <c r="T5" s="4" t="inlineStr">
        <is>
          <t>Active</t>
        </is>
      </c>
      <c r="U5" s="11" t="n"/>
      <c r="V5" s="4" t="n"/>
      <c r="W5" s="4" t="inlineStr">
        <is>
          <t>No</t>
        </is>
      </c>
    </row>
    <row r="6">
      <c r="A6" s="16" t="inlineStr">
        <is>
          <t>EMP-005</t>
        </is>
      </c>
      <c r="B6" s="16" t="inlineStr">
        <is>
          <t>Ashley Williams</t>
        </is>
      </c>
      <c r="C6" s="16" t="inlineStr">
        <is>
          <t>Customer Service Rep</t>
        </is>
      </c>
      <c r="D6" s="17" t="n">
        <v>46041</v>
      </c>
      <c r="E6" s="17" t="n">
        <v>46071</v>
      </c>
      <c r="F6" s="16" t="inlineStr">
        <is>
          <t>Yes</t>
        </is>
      </c>
      <c r="G6" s="16" t="n">
        <v>3</v>
      </c>
      <c r="H6" s="16" t="inlineStr">
        <is>
          <t>Struggling with scripts</t>
        </is>
      </c>
      <c r="I6" s="17" t="n">
        <v>46101</v>
      </c>
      <c r="J6" s="16" t="inlineStr">
        <is>
          <t>Yes</t>
        </is>
      </c>
      <c r="K6" s="16" t="n">
        <v>3</v>
      </c>
      <c r="L6" s="16" t="inlineStr">
        <is>
          <t>Improvement after coaching</t>
        </is>
      </c>
      <c r="M6" s="17" t="n">
        <v>46131</v>
      </c>
      <c r="N6" s="16" t="inlineStr">
        <is>
          <t>No</t>
        </is>
      </c>
      <c r="O6" s="16" t="n"/>
      <c r="P6" s="16" t="inlineStr">
        <is>
          <t>Pending - due 4/19</t>
        </is>
      </c>
      <c r="Q6" s="16" t="inlineStr">
        <is>
          <t>Medium</t>
        </is>
      </c>
      <c r="R6" s="16" t="inlineStr">
        <is>
          <t>QA scores borderline; coaching needed</t>
        </is>
      </c>
      <c r="S6" s="16" t="inlineStr">
        <is>
          <t>Coaching sessions; mentor assigned</t>
        </is>
      </c>
      <c r="T6" s="16" t="inlineStr">
        <is>
          <t>Active</t>
        </is>
      </c>
      <c r="U6" s="17" t="n"/>
      <c r="V6" s="16" t="n"/>
      <c r="W6" s="16" t="inlineStr">
        <is>
          <t>No</t>
        </is>
      </c>
    </row>
    <row r="7">
      <c r="A7" s="4" t="inlineStr">
        <is>
          <t>EMP-006</t>
        </is>
      </c>
      <c r="B7" s="4" t="inlineStr">
        <is>
          <t>Michael Petrov</t>
        </is>
      </c>
      <c r="C7" s="4" t="inlineStr">
        <is>
          <t>Claims Processor</t>
        </is>
      </c>
      <c r="D7" s="11" t="n">
        <v>46041</v>
      </c>
      <c r="E7" s="11" t="n">
        <v>46071</v>
      </c>
      <c r="F7" s="4" t="inlineStr">
        <is>
          <t>Yes</t>
        </is>
      </c>
      <c r="G7" s="4" t="n">
        <v>4</v>
      </c>
      <c r="H7" s="4" t="inlineStr">
        <is>
          <t>Good progress</t>
        </is>
      </c>
      <c r="I7" s="11" t="n">
        <v>46101</v>
      </c>
      <c r="J7" s="4" t="inlineStr">
        <is>
          <t>Yes</t>
        </is>
      </c>
      <c r="K7" s="4" t="n">
        <v>4</v>
      </c>
      <c r="L7" s="4" t="inlineStr">
        <is>
          <t>Consistent performer</t>
        </is>
      </c>
      <c r="M7" s="11" t="n">
        <v>46131</v>
      </c>
      <c r="N7" s="4" t="inlineStr">
        <is>
          <t>No</t>
        </is>
      </c>
      <c r="O7" s="4" t="n"/>
      <c r="P7" s="4" t="inlineStr">
        <is>
          <t>Pending - due 4/19</t>
        </is>
      </c>
      <c r="Q7" s="4" t="inlineStr">
        <is>
          <t>Low</t>
        </is>
      </c>
      <c r="R7" s="4" t="inlineStr">
        <is>
          <t>None</t>
        </is>
      </c>
      <c r="S7" s="4" t="inlineStr">
        <is>
          <t>Regular check-ins</t>
        </is>
      </c>
      <c r="T7" s="4" t="inlineStr">
        <is>
          <t>Active</t>
        </is>
      </c>
      <c r="U7" s="11" t="n"/>
      <c r="V7" s="4" t="n"/>
      <c r="W7" s="4" t="inlineStr">
        <is>
          <t>No</t>
        </is>
      </c>
    </row>
    <row r="8">
      <c r="A8" s="2" t="inlineStr">
        <is>
          <t>EMP-007</t>
        </is>
      </c>
      <c r="B8" s="2" t="inlineStr">
        <is>
          <t>Tameka Johnson</t>
        </is>
      </c>
      <c r="C8" s="2" t="inlineStr">
        <is>
          <t>Customer Service Rep</t>
        </is>
      </c>
      <c r="D8" s="10" t="n">
        <v>46055</v>
      </c>
      <c r="E8" s="10" t="n">
        <v>46085</v>
      </c>
      <c r="F8" s="2" t="inlineStr">
        <is>
          <t>Yes</t>
        </is>
      </c>
      <c r="G8" s="2" t="n">
        <v>4</v>
      </c>
      <c r="H8" s="2" t="inlineStr">
        <is>
          <t>Strong start</t>
        </is>
      </c>
      <c r="I8" s="10" t="n">
        <v>46115</v>
      </c>
      <c r="J8" s="2" t="inlineStr">
        <is>
          <t>Yes</t>
        </is>
      </c>
      <c r="K8" s="2" t="n">
        <v>4</v>
      </c>
      <c r="L8" s="2" t="inlineStr">
        <is>
          <t>Maintaining performance</t>
        </is>
      </c>
      <c r="M8" s="10" t="n">
        <v>46145</v>
      </c>
      <c r="N8" s="2" t="inlineStr">
        <is>
          <t>No</t>
        </is>
      </c>
      <c r="O8" s="2" t="n"/>
      <c r="P8" s="2" t="inlineStr">
        <is>
          <t>Not yet due</t>
        </is>
      </c>
      <c r="Q8" s="2" t="inlineStr">
        <is>
          <t>Low</t>
        </is>
      </c>
      <c r="R8" s="2" t="inlineStr">
        <is>
          <t>None</t>
        </is>
      </c>
      <c r="S8" s="2" t="inlineStr">
        <is>
          <t>Positive feedback given</t>
        </is>
      </c>
      <c r="T8" s="2" t="inlineStr">
        <is>
          <t>Active</t>
        </is>
      </c>
      <c r="U8" s="10" t="n"/>
      <c r="V8" s="2" t="n"/>
      <c r="W8" s="2" t="inlineStr">
        <is>
          <t>No</t>
        </is>
      </c>
    </row>
    <row r="9">
      <c r="A9" s="4" t="inlineStr">
        <is>
          <t>EMP-008</t>
        </is>
      </c>
      <c r="B9" s="4" t="inlineStr">
        <is>
          <t>Christopher Hernandez</t>
        </is>
      </c>
      <c r="C9" s="4" t="inlineStr">
        <is>
          <t>IT Support Specialist</t>
        </is>
      </c>
      <c r="D9" s="11" t="n">
        <v>46027</v>
      </c>
      <c r="E9" s="11" t="n">
        <v>46057</v>
      </c>
      <c r="F9" s="4" t="inlineStr">
        <is>
          <t>Yes</t>
        </is>
      </c>
      <c r="G9" s="4" t="n">
        <v>5</v>
      </c>
      <c r="H9" s="4" t="inlineStr">
        <is>
          <t>Critical team member</t>
        </is>
      </c>
      <c r="I9" s="11" t="n">
        <v>46087</v>
      </c>
      <c r="J9" s="4" t="inlineStr">
        <is>
          <t>Yes</t>
        </is>
      </c>
      <c r="K9" s="4" t="n">
        <v>5</v>
      </c>
      <c r="L9" s="4" t="inlineStr">
        <is>
          <t>Excellent technical skills</t>
        </is>
      </c>
      <c r="M9" s="11" t="n">
        <v>46117</v>
      </c>
      <c r="N9" s="4" t="inlineStr">
        <is>
          <t>Yes</t>
        </is>
      </c>
      <c r="O9" s="4" t="n">
        <v>5</v>
      </c>
      <c r="P9" s="4" t="inlineStr">
        <is>
          <t>Key person; high value</t>
        </is>
      </c>
      <c r="Q9" s="4" t="inlineStr">
        <is>
          <t>Low</t>
        </is>
      </c>
      <c r="R9" s="4" t="inlineStr">
        <is>
          <t>Key person dependency</t>
        </is>
      </c>
      <c r="S9" s="4" t="inlineStr">
        <is>
          <t>Retention bonus discussion</t>
        </is>
      </c>
      <c r="T9" s="4" t="inlineStr">
        <is>
          <t>Active</t>
        </is>
      </c>
      <c r="U9" s="11" t="n"/>
      <c r="V9" s="4" t="n"/>
      <c r="W9" s="4" t="inlineStr">
        <is>
          <t>No</t>
        </is>
      </c>
    </row>
    <row r="10">
      <c r="A10" s="16" t="inlineStr">
        <is>
          <t>EMP-009</t>
        </is>
      </c>
      <c r="B10" s="16" t="inlineStr">
        <is>
          <t>Brittany Davis</t>
        </is>
      </c>
      <c r="C10" s="16" t="inlineStr">
        <is>
          <t>Customer Service Rep</t>
        </is>
      </c>
      <c r="D10" s="17" t="n">
        <v>46083</v>
      </c>
      <c r="E10" s="17" t="n">
        <v>46113</v>
      </c>
      <c r="F10" s="16" t="inlineStr">
        <is>
          <t>Yes</t>
        </is>
      </c>
      <c r="G10" s="16" t="n">
        <v>3</v>
      </c>
      <c r="H10" s="16" t="inlineStr">
        <is>
          <t>Slow training progress</t>
        </is>
      </c>
      <c r="I10" s="17" t="n">
        <v>46143</v>
      </c>
      <c r="J10" s="16" t="inlineStr">
        <is>
          <t>No</t>
        </is>
      </c>
      <c r="K10" s="16" t="n"/>
      <c r="L10" s="16" t="inlineStr">
        <is>
          <t>Not yet due</t>
        </is>
      </c>
      <c r="M10" s="17" t="n">
        <v>46173</v>
      </c>
      <c r="N10" s="16" t="inlineStr">
        <is>
          <t>No</t>
        </is>
      </c>
      <c r="O10" s="16" t="n"/>
      <c r="P10" s="16" t="inlineStr">
        <is>
          <t>Not yet due</t>
        </is>
      </c>
      <c r="Q10" s="16" t="inlineStr">
        <is>
          <t>Medium</t>
        </is>
      </c>
      <c r="R10" s="16" t="inlineStr">
        <is>
          <t>Training delays; clearance pending</t>
        </is>
      </c>
      <c r="S10" s="16" t="inlineStr">
        <is>
          <t>Additional training support</t>
        </is>
      </c>
      <c r="T10" s="16" t="inlineStr">
        <is>
          <t>Active</t>
        </is>
      </c>
      <c r="U10" s="17" t="n"/>
      <c r="V10" s="16" t="n"/>
      <c r="W10" s="16" t="inlineStr">
        <is>
          <t>No</t>
        </is>
      </c>
    </row>
    <row r="11">
      <c r="A11" s="18" t="inlineStr">
        <is>
          <t>EMP-010</t>
        </is>
      </c>
      <c r="B11" s="18" t="inlineStr">
        <is>
          <t>James Patel</t>
        </is>
      </c>
      <c r="C11" s="18" t="inlineStr">
        <is>
          <t>Claims Processor</t>
        </is>
      </c>
      <c r="D11" s="19" t="n">
        <v>46083</v>
      </c>
      <c r="E11" s="19" t="n">
        <v>46113</v>
      </c>
      <c r="F11" s="18" t="inlineStr">
        <is>
          <t>Yes</t>
        </is>
      </c>
      <c r="G11" s="18" t="n">
        <v>2</v>
      </c>
      <c r="H11" s="18" t="inlineStr">
        <is>
          <t>Remote workspace issues</t>
        </is>
      </c>
      <c r="I11" s="19" t="n">
        <v>46143</v>
      </c>
      <c r="J11" s="18" t="inlineStr">
        <is>
          <t>No</t>
        </is>
      </c>
      <c r="K11" s="18" t="n"/>
      <c r="L11" s="18" t="inlineStr">
        <is>
          <t>Not yet due</t>
        </is>
      </c>
      <c r="M11" s="19" t="n">
        <v>46173</v>
      </c>
      <c r="N11" s="18" t="inlineStr">
        <is>
          <t>No</t>
        </is>
      </c>
      <c r="O11" s="18" t="n"/>
      <c r="P11" s="18" t="inlineStr">
        <is>
          <t>Not yet due</t>
        </is>
      </c>
      <c r="Q11" s="18" t="inlineStr">
        <is>
          <t>High</t>
        </is>
      </c>
      <c r="R11" s="18" t="inlineStr">
        <is>
          <t>Workspace not verified; low engagement</t>
        </is>
      </c>
      <c r="S11" s="18" t="inlineStr">
        <is>
          <t>Workspace verification expedited</t>
        </is>
      </c>
      <c r="T11" s="18" t="inlineStr">
        <is>
          <t>Active</t>
        </is>
      </c>
      <c r="U11" s="19" t="n"/>
      <c r="V11" s="18" t="n"/>
      <c r="W11" s="18" t="inlineStr">
        <is>
          <t>No</t>
        </is>
      </c>
    </row>
    <row r="12">
      <c r="A12" s="16" t="inlineStr">
        <is>
          <t>EMP-011</t>
        </is>
      </c>
      <c r="B12" s="16" t="inlineStr">
        <is>
          <t>Stephanie Brooks</t>
        </is>
      </c>
      <c r="C12" s="16" t="inlineStr">
        <is>
          <t>Customer Service Rep</t>
        </is>
      </c>
      <c r="D12" s="17" t="n">
        <v>46090</v>
      </c>
      <c r="E12" s="17" t="n">
        <v>46120</v>
      </c>
      <c r="F12" s="16" t="inlineStr">
        <is>
          <t>Yes</t>
        </is>
      </c>
      <c r="G12" s="16" t="n">
        <v>3</v>
      </c>
      <c r="H12" s="16" t="inlineStr">
        <is>
          <t>Average engagement</t>
        </is>
      </c>
      <c r="I12" s="17" t="n">
        <v>46150</v>
      </c>
      <c r="J12" s="16" t="inlineStr">
        <is>
          <t>No</t>
        </is>
      </c>
      <c r="K12" s="16" t="n"/>
      <c r="L12" s="16" t="inlineStr">
        <is>
          <t>Not yet due</t>
        </is>
      </c>
      <c r="M12" s="17" t="n">
        <v>46180</v>
      </c>
      <c r="N12" s="16" t="inlineStr">
        <is>
          <t>No</t>
        </is>
      </c>
      <c r="O12" s="16" t="n"/>
      <c r="P12" s="16" t="inlineStr">
        <is>
          <t>Not yet due</t>
        </is>
      </c>
      <c r="Q12" s="16" t="inlineStr">
        <is>
          <t>Medium</t>
        </is>
      </c>
      <c r="R12" s="16" t="inlineStr">
        <is>
          <t>Early stage; monitoring</t>
        </is>
      </c>
      <c r="S12" s="16" t="inlineStr">
        <is>
          <t>Buddy system assigned</t>
        </is>
      </c>
      <c r="T12" s="16" t="inlineStr">
        <is>
          <t>Active</t>
        </is>
      </c>
      <c r="U12" s="17" t="n"/>
      <c r="V12" s="16" t="n"/>
      <c r="W12" s="16" t="inlineStr">
        <is>
          <t>No</t>
        </is>
      </c>
    </row>
    <row r="13">
      <c r="A13" s="18" t="inlineStr">
        <is>
          <t>EMP-012</t>
        </is>
      </c>
      <c r="B13" s="18" t="inlineStr">
        <is>
          <t>Andrew Nguyen</t>
        </is>
      </c>
      <c r="C13" s="18" t="inlineStr">
        <is>
          <t>Claims Processor</t>
        </is>
      </c>
      <c r="D13" s="19" t="n">
        <v>46090</v>
      </c>
      <c r="E13" s="19" t="n">
        <v>46120</v>
      </c>
      <c r="F13" s="18" t="inlineStr">
        <is>
          <t>No</t>
        </is>
      </c>
      <c r="G13" s="18" t="n"/>
      <c r="H13" s="18" t="inlineStr">
        <is>
          <t>Overdue - not completed</t>
        </is>
      </c>
      <c r="I13" s="19" t="n">
        <v>46150</v>
      </c>
      <c r="J13" s="18" t="inlineStr">
        <is>
          <t>No</t>
        </is>
      </c>
      <c r="K13" s="18" t="n"/>
      <c r="L13" s="18" t="inlineStr">
        <is>
          <t>Not yet due</t>
        </is>
      </c>
      <c r="M13" s="19" t="n">
        <v>46180</v>
      </c>
      <c r="N13" s="18" t="inlineStr">
        <is>
          <t>No</t>
        </is>
      </c>
      <c r="O13" s="18" t="n"/>
      <c r="P13" s="18" t="inlineStr">
        <is>
          <t>Not yet due</t>
        </is>
      </c>
      <c r="Q13" s="18" t="inlineStr">
        <is>
          <t>High</t>
        </is>
      </c>
      <c r="R13" s="18" t="inlineStr">
        <is>
          <t>Overdue check-in; training overdue</t>
        </is>
      </c>
      <c r="S13" s="18" t="inlineStr">
        <is>
          <t>Escalated to supervisor</t>
        </is>
      </c>
      <c r="T13" s="18" t="inlineStr">
        <is>
          <t>Active</t>
        </is>
      </c>
      <c r="U13" s="19" t="n"/>
      <c r="V13" s="18" t="n"/>
      <c r="W13" s="18" t="inlineStr">
        <is>
          <t>No</t>
        </is>
      </c>
    </row>
    <row r="14">
      <c r="A14" s="18" t="inlineStr">
        <is>
          <t>EMP-013</t>
        </is>
      </c>
      <c r="B14" s="18" t="inlineStr">
        <is>
          <t>Rachel Cooper</t>
        </is>
      </c>
      <c r="C14" s="18" t="inlineStr">
        <is>
          <t>Customer Service Rep</t>
        </is>
      </c>
      <c r="D14" s="19" t="n">
        <v>46055</v>
      </c>
      <c r="E14" s="19" t="n">
        <v>46085</v>
      </c>
      <c r="F14" s="18" t="inlineStr">
        <is>
          <t>Yes</t>
        </is>
      </c>
      <c r="G14" s="18" t="n">
        <v>2</v>
      </c>
      <c r="H14" s="18" t="inlineStr">
        <is>
          <t>Disengaged; personal issues</t>
        </is>
      </c>
      <c r="I14" s="19" t="n">
        <v>46115</v>
      </c>
      <c r="J14" s="18" t="inlineStr">
        <is>
          <t>No</t>
        </is>
      </c>
      <c r="K14" s="18" t="n"/>
      <c r="L14" s="18" t="inlineStr">
        <is>
          <t>Separated before 60-day</t>
        </is>
      </c>
      <c r="M14" s="19" t="n">
        <v>46145</v>
      </c>
      <c r="N14" s="18" t="inlineStr">
        <is>
          <t>No</t>
        </is>
      </c>
      <c r="O14" s="18" t="n"/>
      <c r="P14" s="18" t="inlineStr">
        <is>
          <t>Separated before 90-day</t>
        </is>
      </c>
      <c r="Q14" s="18" t="inlineStr">
        <is>
          <t>High</t>
        </is>
      </c>
      <c r="R14" s="18" t="inlineStr">
        <is>
          <t>Low QA scores; disengagement</t>
        </is>
      </c>
      <c r="S14" s="18" t="inlineStr">
        <is>
          <t>Coaching; PIP initiated</t>
        </is>
      </c>
      <c r="T14" s="18" t="inlineStr">
        <is>
          <t>Separated</t>
        </is>
      </c>
      <c r="U14" s="19" t="n">
        <v>46096</v>
      </c>
      <c r="V14" s="18" t="inlineStr">
        <is>
          <t>Voluntary</t>
        </is>
      </c>
      <c r="W14" s="18" t="inlineStr">
        <is>
          <t>Yes</t>
        </is>
      </c>
    </row>
    <row r="15">
      <c r="A15" s="18" t="inlineStr">
        <is>
          <t>EMP-014</t>
        </is>
      </c>
      <c r="B15" s="18" t="inlineStr">
        <is>
          <t>Kevin Washington</t>
        </is>
      </c>
      <c r="C15" s="18" t="inlineStr">
        <is>
          <t>Customer Service Rep</t>
        </is>
      </c>
      <c r="D15" s="19" t="n">
        <v>46041</v>
      </c>
      <c r="E15" s="19" t="n">
        <v>46071</v>
      </c>
      <c r="F15" s="18" t="inlineStr">
        <is>
          <t>Yes</t>
        </is>
      </c>
      <c r="G15" s="18" t="n">
        <v>1</v>
      </c>
      <c r="H15" s="18" t="inlineStr">
        <is>
          <t>Severe performance issues</t>
        </is>
      </c>
      <c r="I15" s="19" t="n">
        <v>46101</v>
      </c>
      <c r="J15" s="18" t="inlineStr">
        <is>
          <t>No</t>
        </is>
      </c>
      <c r="K15" s="18" t="n"/>
      <c r="L15" s="18" t="inlineStr">
        <is>
          <t>Terminated before 60-day</t>
        </is>
      </c>
      <c r="M15" s="19" t="n">
        <v>46131</v>
      </c>
      <c r="N15" s="18" t="inlineStr">
        <is>
          <t>No</t>
        </is>
      </c>
      <c r="O15" s="18" t="n"/>
      <c r="P15" s="18" t="inlineStr">
        <is>
          <t>Terminated before 90-day</t>
        </is>
      </c>
      <c r="Q15" s="18" t="inlineStr">
        <is>
          <t>High</t>
        </is>
      </c>
      <c r="R15" s="18" t="inlineStr">
        <is>
          <t>Failing QA; no improvement</t>
        </is>
      </c>
      <c r="S15" s="18" t="inlineStr">
        <is>
          <t>PIP; coaching; termination</t>
        </is>
      </c>
      <c r="T15" s="18" t="inlineStr">
        <is>
          <t>Separated</t>
        </is>
      </c>
      <c r="U15" s="19" t="n">
        <v>46073</v>
      </c>
      <c r="V15" s="18" t="inlineStr">
        <is>
          <t>Involuntary</t>
        </is>
      </c>
      <c r="W15" s="18" t="inlineStr">
        <is>
          <t>Yes</t>
        </is>
      </c>
    </row>
    <row r="16">
      <c r="A16" s="2" t="inlineStr">
        <is>
          <t>EMP-015</t>
        </is>
      </c>
      <c r="B16" s="2" t="inlineStr">
        <is>
          <t>Lauren Martinez</t>
        </is>
      </c>
      <c r="C16" s="2" t="inlineStr">
        <is>
          <t>Quality Analyst</t>
        </is>
      </c>
      <c r="D16" s="10" t="n">
        <v>46097</v>
      </c>
      <c r="E16" s="10" t="n">
        <v>46127</v>
      </c>
      <c r="F16" s="2" t="inlineStr">
        <is>
          <t>Yes</t>
        </is>
      </c>
      <c r="G16" s="2" t="n">
        <v>4</v>
      </c>
      <c r="H16" s="2" t="inlineStr">
        <is>
          <t>Good initial engagement</t>
        </is>
      </c>
      <c r="I16" s="10" t="n">
        <v>46157</v>
      </c>
      <c r="J16" s="2" t="inlineStr">
        <is>
          <t>No</t>
        </is>
      </c>
      <c r="K16" s="2" t="n"/>
      <c r="L16" s="2" t="inlineStr">
        <is>
          <t>Not yet due</t>
        </is>
      </c>
      <c r="M16" s="10" t="n">
        <v>46187</v>
      </c>
      <c r="N16" s="2" t="inlineStr">
        <is>
          <t>No</t>
        </is>
      </c>
      <c r="O16" s="2" t="n"/>
      <c r="P16" s="2" t="inlineStr">
        <is>
          <t>Not yet due</t>
        </is>
      </c>
      <c r="Q16" s="2" t="inlineStr">
        <is>
          <t>Low</t>
        </is>
      </c>
      <c r="R16" s="2" t="inlineStr">
        <is>
          <t>None; strong candidate</t>
        </is>
      </c>
      <c r="S16" s="2" t="inlineStr">
        <is>
          <t>Onboarding support</t>
        </is>
      </c>
      <c r="T16" s="2" t="inlineStr">
        <is>
          <t>Active</t>
        </is>
      </c>
      <c r="U16" s="10" t="n"/>
      <c r="V16" s="2" t="n"/>
      <c r="W16" s="2" t="inlineStr">
        <is>
          <t>No</t>
        </is>
      </c>
    </row>
    <row r="17">
      <c r="A17" s="16" t="inlineStr">
        <is>
          <t>EMP-016</t>
        </is>
      </c>
      <c r="B17" s="16" t="inlineStr">
        <is>
          <t>Timothy Foster</t>
        </is>
      </c>
      <c r="C17" s="16" t="inlineStr">
        <is>
          <t>Customer Service Rep</t>
        </is>
      </c>
      <c r="D17" s="17" t="n">
        <v>46097</v>
      </c>
      <c r="E17" s="17" t="n">
        <v>46127</v>
      </c>
      <c r="F17" s="16" t="inlineStr">
        <is>
          <t>Yes</t>
        </is>
      </c>
      <c r="G17" s="16" t="n">
        <v>3</v>
      </c>
      <c r="H17" s="16" t="inlineStr">
        <is>
          <t>Needs script coaching</t>
        </is>
      </c>
      <c r="I17" s="17" t="n">
        <v>46157</v>
      </c>
      <c r="J17" s="16" t="inlineStr">
        <is>
          <t>No</t>
        </is>
      </c>
      <c r="K17" s="16" t="n"/>
      <c r="L17" s="16" t="inlineStr">
        <is>
          <t>Not yet due</t>
        </is>
      </c>
      <c r="M17" s="17" t="n">
        <v>46187</v>
      </c>
      <c r="N17" s="16" t="inlineStr">
        <is>
          <t>No</t>
        </is>
      </c>
      <c r="O17" s="16" t="n"/>
      <c r="P17" s="16" t="inlineStr">
        <is>
          <t>Not yet due</t>
        </is>
      </c>
      <c r="Q17" s="16" t="inlineStr">
        <is>
          <t>Medium</t>
        </is>
      </c>
      <c r="R17" s="16" t="inlineStr">
        <is>
          <t>QA scores need improvement</t>
        </is>
      </c>
      <c r="S17" s="16" t="inlineStr">
        <is>
          <t>Coaching provided</t>
        </is>
      </c>
      <c r="T17" s="16" t="inlineStr">
        <is>
          <t>Active</t>
        </is>
      </c>
      <c r="U17" s="17" t="n"/>
      <c r="V17" s="16" t="n"/>
      <c r="W17" s="16" t="inlineStr">
        <is>
          <t>No</t>
        </is>
      </c>
    </row>
    <row r="18">
      <c r="A18" s="16" t="inlineStr">
        <is>
          <t>EMP-017</t>
        </is>
      </c>
      <c r="B18" s="16" t="inlineStr">
        <is>
          <t>Nicole Jackson</t>
        </is>
      </c>
      <c r="C18" s="16" t="inlineStr">
        <is>
          <t>Claims Processor</t>
        </is>
      </c>
      <c r="D18" s="17" t="n">
        <v>46069</v>
      </c>
      <c r="E18" s="17" t="n">
        <v>46099</v>
      </c>
      <c r="F18" s="16" t="inlineStr">
        <is>
          <t>Yes</t>
        </is>
      </c>
      <c r="G18" s="16" t="n">
        <v>4</v>
      </c>
      <c r="H18" s="16" t="inlineStr">
        <is>
          <t>Good performance</t>
        </is>
      </c>
      <c r="I18" s="17" t="n">
        <v>46129</v>
      </c>
      <c r="J18" s="16" t="inlineStr">
        <is>
          <t>Yes</t>
        </is>
      </c>
      <c r="K18" s="16" t="n">
        <v>3</v>
      </c>
      <c r="L18" s="16" t="inlineStr">
        <is>
          <t>On leave; monitoring</t>
        </is>
      </c>
      <c r="M18" s="17" t="n">
        <v>46159</v>
      </c>
      <c r="N18" s="16" t="inlineStr">
        <is>
          <t>No</t>
        </is>
      </c>
      <c r="O18" s="16" t="n"/>
      <c r="P18" s="16" t="inlineStr">
        <is>
          <t>On FMLA leave</t>
        </is>
      </c>
      <c r="Q18" s="16" t="inlineStr">
        <is>
          <t>Medium</t>
        </is>
      </c>
      <c r="R18" s="16" t="inlineStr">
        <is>
          <t>FMLA leave; return uncertain</t>
        </is>
      </c>
      <c r="S18" s="16" t="inlineStr">
        <is>
          <t>Leave accommodated; return plan</t>
        </is>
      </c>
      <c r="T18" s="16" t="inlineStr">
        <is>
          <t>Active</t>
        </is>
      </c>
      <c r="U18" s="17" t="n"/>
      <c r="V18" s="16" t="n"/>
      <c r="W18" s="16" t="inlineStr">
        <is>
          <t>No</t>
        </is>
      </c>
    </row>
    <row r="19">
      <c r="A19" s="4" t="inlineStr">
        <is>
          <t>EMP-018</t>
        </is>
      </c>
      <c r="B19" s="4" t="inlineStr">
        <is>
          <t>Brandon Lee</t>
        </is>
      </c>
      <c r="C19" s="4" t="inlineStr">
        <is>
          <t>IT Support Specialist</t>
        </is>
      </c>
      <c r="D19" s="11" t="n">
        <v>46069</v>
      </c>
      <c r="E19" s="11" t="n">
        <v>46099</v>
      </c>
      <c r="F19" s="4" t="inlineStr">
        <is>
          <t>Yes</t>
        </is>
      </c>
      <c r="G19" s="4" t="n">
        <v>4</v>
      </c>
      <c r="H19" s="4" t="inlineStr">
        <is>
          <t>Quick learner</t>
        </is>
      </c>
      <c r="I19" s="11" t="n">
        <v>46129</v>
      </c>
      <c r="J19" s="4" t="inlineStr">
        <is>
          <t>Yes</t>
        </is>
      </c>
      <c r="K19" s="4" t="n">
        <v>4</v>
      </c>
      <c r="L19" s="4" t="inlineStr">
        <is>
          <t>Strong performance</t>
        </is>
      </c>
      <c r="M19" s="11" t="n">
        <v>46159</v>
      </c>
      <c r="N19" s="4" t="inlineStr">
        <is>
          <t>No</t>
        </is>
      </c>
      <c r="O19" s="4" t="n"/>
      <c r="P19" s="4" t="inlineStr">
        <is>
          <t>Not yet due</t>
        </is>
      </c>
      <c r="Q19" s="4" t="inlineStr">
        <is>
          <t>Low</t>
        </is>
      </c>
      <c r="R19" s="4" t="inlineStr">
        <is>
          <t>None</t>
        </is>
      </c>
      <c r="S19" s="4" t="inlineStr">
        <is>
          <t>Technical growth plan</t>
        </is>
      </c>
      <c r="T19" s="4" t="inlineStr">
        <is>
          <t>Active</t>
        </is>
      </c>
      <c r="U19" s="11" t="n"/>
      <c r="V19" s="4" t="n"/>
      <c r="W19" s="4" t="inlineStr">
        <is>
          <t>No</t>
        </is>
      </c>
    </row>
    <row r="20">
      <c r="A20" s="18" t="inlineStr">
        <is>
          <t>EMP-019</t>
        </is>
      </c>
      <c r="B20" s="18" t="inlineStr">
        <is>
          <t>Amanda Taylor</t>
        </is>
      </c>
      <c r="C20" s="18" t="inlineStr">
        <is>
          <t>Customer Service Rep</t>
        </is>
      </c>
      <c r="D20" s="19" t="n">
        <v>46118</v>
      </c>
      <c r="E20" s="19" t="n">
        <v>46148</v>
      </c>
      <c r="F20" s="18" t="inlineStr">
        <is>
          <t>No</t>
        </is>
      </c>
      <c r="G20" s="18" t="n"/>
      <c r="H20" s="18" t="inlineStr">
        <is>
          <t>Not yet due</t>
        </is>
      </c>
      <c r="I20" s="19" t="n">
        <v>46178</v>
      </c>
      <c r="J20" s="18" t="inlineStr">
        <is>
          <t>No</t>
        </is>
      </c>
      <c r="K20" s="18" t="n"/>
      <c r="L20" s="18" t="inlineStr">
        <is>
          <t>Not yet due</t>
        </is>
      </c>
      <c r="M20" s="19" t="n">
        <v>46208</v>
      </c>
      <c r="N20" s="18" t="inlineStr">
        <is>
          <t>No</t>
        </is>
      </c>
      <c r="O20" s="18" t="n"/>
      <c r="P20" s="18" t="inlineStr">
        <is>
          <t>Not yet due</t>
        </is>
      </c>
      <c r="Q20" s="18" t="inlineStr">
        <is>
          <t>High</t>
        </is>
      </c>
      <c r="R20" s="18" t="inlineStr">
        <is>
          <t>Equipment delays; no system access</t>
        </is>
      </c>
      <c r="S20" s="18" t="inlineStr">
        <is>
          <t>Equipment shipment expedited</t>
        </is>
      </c>
      <c r="T20" s="18" t="inlineStr">
        <is>
          <t>Active</t>
        </is>
      </c>
      <c r="U20" s="19" t="n"/>
      <c r="V20" s="18" t="n"/>
      <c r="W20" s="18" t="inlineStr">
        <is>
          <t>No</t>
        </is>
      </c>
    </row>
    <row r="21">
      <c r="A21" s="4" t="inlineStr">
        <is>
          <t>EMP-020</t>
        </is>
      </c>
      <c r="B21" s="4" t="inlineStr">
        <is>
          <t>Marcus Robinson</t>
        </is>
      </c>
      <c r="C21" s="4" t="inlineStr">
        <is>
          <t>Team Lead</t>
        </is>
      </c>
      <c r="D21" s="11" t="n">
        <v>46027</v>
      </c>
      <c r="E21" s="11" t="n">
        <v>46057</v>
      </c>
      <c r="F21" s="4" t="inlineStr">
        <is>
          <t>Yes</t>
        </is>
      </c>
      <c r="G21" s="4" t="n">
        <v>5</v>
      </c>
      <c r="H21" s="4" t="inlineStr">
        <is>
          <t>Excellent leader</t>
        </is>
      </c>
      <c r="I21" s="11" t="n">
        <v>46087</v>
      </c>
      <c r="J21" s="4" t="inlineStr">
        <is>
          <t>Yes</t>
        </is>
      </c>
      <c r="K21" s="4" t="n">
        <v>5</v>
      </c>
      <c r="L21" s="4" t="inlineStr">
        <is>
          <t>High impact team lead</t>
        </is>
      </c>
      <c r="M21" s="11" t="n">
        <v>46117</v>
      </c>
      <c r="N21" s="4" t="inlineStr">
        <is>
          <t>Yes</t>
        </is>
      </c>
      <c r="O21" s="4" t="n">
        <v>5</v>
      </c>
      <c r="P21" s="4" t="inlineStr">
        <is>
          <t>Retention priority</t>
        </is>
      </c>
      <c r="Q21" s="4" t="inlineStr">
        <is>
          <t>Low</t>
        </is>
      </c>
      <c r="R21" s="4" t="inlineStr">
        <is>
          <t>Key person dependency</t>
        </is>
      </c>
      <c r="S21" s="4" t="inlineStr">
        <is>
          <t>Retention bonus; career path</t>
        </is>
      </c>
      <c r="T21" s="4" t="inlineStr">
        <is>
          <t>Active</t>
        </is>
      </c>
      <c r="U21" s="11" t="n"/>
      <c r="V21" s="4" t="n"/>
      <c r="W21" s="4" t="inlineStr">
        <is>
          <t>No</t>
        </is>
      </c>
    </row>
  </sheetData>
  <dataValidations count="10">
    <dataValidation sqref="F2:F100" showDropDown="0" showInputMessage="0" showErrorMessage="0" allowBlank="1" type="list">
      <formula1>"Yes,No"</formula1>
    </dataValidation>
    <dataValidation sqref="J2:J100" showDropDown="0" showInputMessage="0" showErrorMessage="0" allowBlank="1" type="list">
      <formula1>"Yes,No"</formula1>
    </dataValidation>
    <dataValidation sqref="N2:N100" showDropDown="0" showInputMessage="0" showErrorMessage="0" allowBlank="1" type="list">
      <formula1>"Yes,No"</formula1>
    </dataValidation>
    <dataValidation sqref="Q2:Q100" showDropDown="0" showInputMessage="0" showErrorMessage="0" allowBlank="1" type="list">
      <formula1>"Low,Medium,High"</formula1>
    </dataValidation>
    <dataValidation sqref="T2:T100" showDropDown="0" showInputMessage="0" showErrorMessage="0" allowBlank="1" type="list">
      <formula1>"Active,Separated"</formula1>
    </dataValidation>
    <dataValidation sqref="V2:V100" showDropDown="0" showInputMessage="0" showErrorMessage="0" allowBlank="1" type="list">
      <formula1>"Voluntary,Involuntary,Contract End,Other"</formula1>
    </dataValidation>
    <dataValidation sqref="W2:W100" showDropDown="0" showInputMessage="0" showErrorMessage="0" allowBlank="1" type="list">
      <formula1>"Yes,No"</formula1>
    </dataValidation>
    <dataValidation sqref="G2:G100" showDropDown="0" showInputMessage="0" showErrorMessage="1" allowBlank="1" error="Score must be 1-5" type="whole" operator="between">
      <formula1>1</formula1>
      <formula2>5</formula2>
    </dataValidation>
    <dataValidation sqref="K2:K100" showDropDown="0" showInputMessage="0" showErrorMessage="1" allowBlank="1" error="Score must be 1-5" type="whole" operator="between">
      <formula1>1</formula1>
      <formula2>5</formula2>
    </dataValidation>
    <dataValidation sqref="O2:O100" showDropDown="0" showInputMessage="0" showErrorMessage="1" allowBlank="1" error="Score must be 1-5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40" customWidth="1" min="10" max="10"/>
    <col width="14" customWidth="1" min="11" max="11"/>
    <col width="35" customWidth="1" min="12" max="12"/>
    <col width="16" customWidth="1" min="13" max="13"/>
    <col width="16" customWidth="1" min="14" max="14"/>
    <col width="12" customWidth="1" min="15" max="15"/>
    <col width="12" customWidth="1" min="16" max="16"/>
    <col width="14" customWidth="1" min="17" max="17"/>
    <col width="28" customWidth="1" min="18" max="18"/>
  </cols>
  <sheetData>
    <row r="1">
      <c r="A1" s="1" t="inlineStr">
        <is>
          <t>Risk ID</t>
        </is>
      </c>
      <c r="B1" s="1" t="inlineStr">
        <is>
          <t>Date Identified</t>
        </is>
      </c>
      <c r="C1" s="1" t="inlineStr">
        <is>
          <t>Risk Category</t>
        </is>
      </c>
      <c r="D1" s="1" t="inlineStr">
        <is>
          <t>Risk Description</t>
        </is>
      </c>
      <c r="E1" s="1" t="inlineStr">
        <is>
          <t>Likelihood (1-5)</t>
        </is>
      </c>
      <c r="F1" s="1" t="inlineStr">
        <is>
          <t>Impact (1-5)</t>
        </is>
      </c>
      <c r="G1" s="1" t="inlineStr">
        <is>
          <t>Risk Score</t>
        </is>
      </c>
      <c r="H1" s="1" t="inlineStr">
        <is>
          <t>Risk Rating</t>
        </is>
      </c>
      <c r="I1" s="1" t="inlineStr">
        <is>
          <t>Risk Owner</t>
        </is>
      </c>
      <c r="J1" s="1" t="inlineStr">
        <is>
          <t>Mitigation Strategy</t>
        </is>
      </c>
      <c r="K1" s="1" t="inlineStr">
        <is>
          <t>Mitigation Status</t>
        </is>
      </c>
      <c r="L1" s="1" t="inlineStr">
        <is>
          <t>Contingency Plan</t>
        </is>
      </c>
      <c r="M1" s="1" t="inlineStr">
        <is>
          <t>Target Resolution Date</t>
        </is>
      </c>
      <c r="N1" s="1" t="inlineStr">
        <is>
          <t>Actual Resolution Date</t>
        </is>
      </c>
      <c r="O1" s="1" t="inlineStr">
        <is>
          <t>Status</t>
        </is>
      </c>
      <c r="P1" s="1" t="inlineStr">
        <is>
          <t>Trend</t>
        </is>
      </c>
      <c r="Q1" s="1" t="inlineStr">
        <is>
          <t>Last Updated</t>
        </is>
      </c>
      <c r="R1" s="1" t="inlineStr">
        <is>
          <t>Notes</t>
        </is>
      </c>
    </row>
    <row r="2">
      <c r="A2" s="16" t="inlineStr">
        <is>
          <t>RSK-001</t>
        </is>
      </c>
      <c r="B2" s="17" t="n">
        <v>46027</v>
      </c>
      <c r="C2" s="16" t="inlineStr">
        <is>
          <t>Technology</t>
        </is>
      </c>
      <c r="D2" s="16" t="inlineStr">
        <is>
          <t>Remote workforce connectivity failures - employees unable to access systems due to ISP outages or VPN issues</t>
        </is>
      </c>
      <c r="E2" s="16" t="n">
        <v>4</v>
      </c>
      <c r="F2" s="16" t="n">
        <v>4</v>
      </c>
      <c r="G2" s="16">
        <f>E2*F2</f>
        <v/>
      </c>
      <c r="H2" s="16">
        <f>IF(G2&gt;=20,"Critical",IF(G2&gt;=12,"High",IF(G2&gt;=6,"Medium","Low")))</f>
        <v/>
      </c>
      <c r="I2" s="16" t="inlineStr">
        <is>
          <t>IT/Equipment Lead</t>
        </is>
      </c>
      <c r="J2" s="16" t="inlineStr">
        <is>
          <t>Require backup ISP; provide mobile hotspot kits; VPN redundancy</t>
        </is>
      </c>
      <c r="K2" s="16" t="inlineStr">
        <is>
          <t>In Progress</t>
        </is>
      </c>
      <c r="L2" s="16" t="inlineStr">
        <is>
          <t>Activate mobile hotspot; temporary work reassignment</t>
        </is>
      </c>
      <c r="M2" s="17" t="n">
        <v>46081</v>
      </c>
      <c r="N2" s="17" t="n"/>
      <c r="O2" s="16" t="inlineStr">
        <is>
          <t>Open</t>
        </is>
      </c>
      <c r="P2" s="16" t="inlineStr">
        <is>
          <t>Stable</t>
        </is>
      </c>
      <c r="Q2" s="17" t="n">
        <v>46130</v>
      </c>
      <c r="R2" s="16" t="inlineStr">
        <is>
          <t>3 incidents in Q1</t>
        </is>
      </c>
    </row>
    <row r="3">
      <c r="A3" s="16" t="inlineStr">
        <is>
          <t>RSK-002</t>
        </is>
      </c>
      <c r="B3" s="17" t="n">
        <v>46027</v>
      </c>
      <c r="C3" s="16" t="inlineStr">
        <is>
          <t>Operational</t>
        </is>
      </c>
      <c r="D3" s="16" t="inlineStr">
        <is>
          <t>Equipment delivery delays - shipping backlogs preventing timely onboarding</t>
        </is>
      </c>
      <c r="E3" s="16" t="n">
        <v>3</v>
      </c>
      <c r="F3" s="16" t="n">
        <v>4</v>
      </c>
      <c r="G3" s="16">
        <f>E3*F3</f>
        <v/>
      </c>
      <c r="H3" s="16">
        <f>IF(G3&gt;=20,"Critical",IF(G3&gt;=12,"High",IF(G3&gt;=6,"Medium","Low")))</f>
        <v/>
      </c>
      <c r="I3" s="16" t="inlineStr">
        <is>
          <t>IT/Equipment Lead</t>
        </is>
      </c>
      <c r="J3" s="16" t="inlineStr">
        <is>
          <t>Pre-order inventory buffer; multiple shipping vendors; expedited options</t>
        </is>
      </c>
      <c r="K3" s="16" t="inlineStr">
        <is>
          <t>In Progress</t>
        </is>
      </c>
      <c r="L3" s="16" t="inlineStr">
        <is>
          <t>Loan equipment from local office; delay start date</t>
        </is>
      </c>
      <c r="M3" s="17" t="n">
        <v>46096</v>
      </c>
      <c r="N3" s="17" t="n"/>
      <c r="O3" s="16" t="inlineStr">
        <is>
          <t>Open</t>
        </is>
      </c>
      <c r="P3" s="16" t="inlineStr">
        <is>
          <t>Decreasing</t>
        </is>
      </c>
      <c r="Q3" s="17" t="n">
        <v>46130</v>
      </c>
      <c r="R3" s="16" t="inlineStr">
        <is>
          <t>Improved with new vendor</t>
        </is>
      </c>
    </row>
    <row r="4">
      <c r="A4" s="18" t="inlineStr">
        <is>
          <t>RSK-003</t>
        </is>
      </c>
      <c r="B4" s="19" t="n">
        <v>46032</v>
      </c>
      <c r="C4" s="18" t="inlineStr">
        <is>
          <t>Security</t>
        </is>
      </c>
      <c r="D4" s="18" t="inlineStr">
        <is>
          <t>Clearance processing backlogs - interim clearances delayed beyond 30 days</t>
        </is>
      </c>
      <c r="E4" s="18" t="n">
        <v>4</v>
      </c>
      <c r="F4" s="18" t="n">
        <v>5</v>
      </c>
      <c r="G4" s="18">
        <f>E4*F4</f>
        <v/>
      </c>
      <c r="H4" s="18">
        <f>IF(G4&gt;=20,"Critical",IF(G4&gt;=12,"High",IF(G4&gt;=6,"Medium","Low")))</f>
        <v/>
      </c>
      <c r="I4" s="18" t="inlineStr">
        <is>
          <t>FSO/Security Lead</t>
        </is>
      </c>
      <c r="J4" s="18" t="inlineStr">
        <is>
          <t>Early e-QIP submission; liaison with DCSA; interim clearance requests</t>
        </is>
      </c>
      <c r="K4" s="18" t="inlineStr">
        <is>
          <t>In Progress</t>
        </is>
      </c>
      <c r="L4" s="18" t="inlineStr">
        <is>
          <t>Assign to non-classified tasks pending clearance</t>
        </is>
      </c>
      <c r="M4" s="19" t="n">
        <v>46142</v>
      </c>
      <c r="N4" s="19" t="n"/>
      <c r="O4" s="18" t="inlineStr">
        <is>
          <t>Open</t>
        </is>
      </c>
      <c r="P4" s="18" t="inlineStr">
        <is>
          <t>Increasing</t>
        </is>
      </c>
      <c r="Q4" s="19" t="n">
        <v>46130</v>
      </c>
      <c r="R4" s="18" t="inlineStr">
        <is>
          <t>DCSA backlog growing</t>
        </is>
      </c>
    </row>
    <row r="5">
      <c r="A5" s="16" t="inlineStr">
        <is>
          <t>RSK-004</t>
        </is>
      </c>
      <c r="B5" s="17" t="n">
        <v>46037</v>
      </c>
      <c r="C5" s="16" t="inlineStr">
        <is>
          <t>Staffing</t>
        </is>
      </c>
      <c r="D5" s="16" t="inlineStr">
        <is>
          <t>High early attrition - turnover exceeding 15% in first 90 days</t>
        </is>
      </c>
      <c r="E5" s="16" t="n">
        <v>4</v>
      </c>
      <c r="F5" s="16" t="n">
        <v>4</v>
      </c>
      <c r="G5" s="16">
        <f>E5*F5</f>
        <v/>
      </c>
      <c r="H5" s="16">
        <f>IF(G5&gt;=20,"Critical",IF(G5&gt;=12,"High",IF(G5&gt;=6,"Medium","Low")))</f>
        <v/>
      </c>
      <c r="I5" s="16" t="inlineStr">
        <is>
          <t>HR Manager</t>
        </is>
      </c>
      <c r="J5" s="16" t="inlineStr">
        <is>
          <t>Enhanced onboarding; 30/60/90 check-ins; buddy system; retention incentives</t>
        </is>
      </c>
      <c r="K5" s="16" t="inlineStr">
        <is>
          <t>In Progress</t>
        </is>
      </c>
      <c r="L5" s="16" t="inlineStr">
        <is>
          <t>Accelerate backfill recruiting; cross-train existing staff</t>
        </is>
      </c>
      <c r="M5" s="17" t="n">
        <v>46142</v>
      </c>
      <c r="N5" s="17" t="n"/>
      <c r="O5" s="16" t="inlineStr">
        <is>
          <t>Open</t>
        </is>
      </c>
      <c r="P5" s="16" t="inlineStr">
        <is>
          <t>Stable</t>
        </is>
      </c>
      <c r="Q5" s="17" t="n">
        <v>46130</v>
      </c>
      <c r="R5" s="16" t="inlineStr">
        <is>
          <t>2 separations to date</t>
        </is>
      </c>
    </row>
    <row r="6">
      <c r="A6" s="16" t="inlineStr">
        <is>
          <t>RSK-005</t>
        </is>
      </c>
      <c r="B6" s="17" t="n">
        <v>46042</v>
      </c>
      <c r="C6" s="16" t="inlineStr">
        <is>
          <t>Quality</t>
        </is>
      </c>
      <c r="D6" s="16" t="inlineStr">
        <is>
          <t>QA scores below contract minimums - team average below 70% threshold</t>
        </is>
      </c>
      <c r="E6" s="16" t="n">
        <v>3</v>
      </c>
      <c r="F6" s="16" t="n">
        <v>5</v>
      </c>
      <c r="G6" s="16">
        <f>E6*F6</f>
        <v/>
      </c>
      <c r="H6" s="16">
        <f>IF(G6&gt;=20,"Critical",IF(G6&gt;=12,"High",IF(G6&gt;=6,"Medium","Low")))</f>
        <v/>
      </c>
      <c r="I6" s="16" t="inlineStr">
        <is>
          <t>QA Lead</t>
        </is>
      </c>
      <c r="J6" s="16" t="inlineStr">
        <is>
          <t>Weekly monitoring; coaching program; performance improvement plans</t>
        </is>
      </c>
      <c r="K6" s="16" t="inlineStr">
        <is>
          <t>Implemented</t>
        </is>
      </c>
      <c r="L6" s="16" t="inlineStr">
        <is>
          <t>Redistribute work to high performers; request contract waiver</t>
        </is>
      </c>
      <c r="M6" s="17" t="n">
        <v>46112</v>
      </c>
      <c r="N6" s="17" t="n"/>
      <c r="O6" s="16" t="inlineStr">
        <is>
          <t>Monitoring</t>
        </is>
      </c>
      <c r="P6" s="16" t="inlineStr">
        <is>
          <t>Decreasing</t>
        </is>
      </c>
      <c r="Q6" s="17" t="n">
        <v>46130</v>
      </c>
      <c r="R6" s="16" t="inlineStr">
        <is>
          <t>Team avg now 82%</t>
        </is>
      </c>
    </row>
    <row r="7">
      <c r="A7" s="25" t="inlineStr">
        <is>
          <t>RSK-006</t>
        </is>
      </c>
      <c r="B7" s="26" t="n">
        <v>46047</v>
      </c>
      <c r="C7" s="25" t="inlineStr">
        <is>
          <t>Compliance</t>
        </is>
      </c>
      <c r="D7" s="25" t="inlineStr">
        <is>
          <t>Multi-state tax compliance gaps - employees in TX, LA, AR with different requirements</t>
        </is>
      </c>
      <c r="E7" s="25" t="n">
        <v>3</v>
      </c>
      <c r="F7" s="25" t="n">
        <v>3</v>
      </c>
      <c r="G7" s="25">
        <f>E7*F7</f>
        <v/>
      </c>
      <c r="H7" s="25">
        <f>IF(G7&gt;=20,"Critical",IF(G7&gt;=12,"High",IF(G7&gt;=6,"Medium","Low")))</f>
        <v/>
      </c>
      <c r="I7" s="25" t="inlineStr">
        <is>
          <t>Finance Lead</t>
        </is>
      </c>
      <c r="J7" s="25" t="inlineStr">
        <is>
          <t>Engage multi-state tax consultant; update payroll system; employee state tracking</t>
        </is>
      </c>
      <c r="K7" s="25" t="inlineStr">
        <is>
          <t>Implemented</t>
        </is>
      </c>
      <c r="L7" s="25" t="inlineStr">
        <is>
          <t>Manual tax adjustments; amended filings</t>
        </is>
      </c>
      <c r="M7" s="26" t="n">
        <v>46081</v>
      </c>
      <c r="N7" s="26" t="n">
        <v>46078</v>
      </c>
      <c r="O7" s="25" t="inlineStr">
        <is>
          <t>Mitigated</t>
        </is>
      </c>
      <c r="P7" s="25" t="inlineStr">
        <is>
          <t>Stable</t>
        </is>
      </c>
      <c r="Q7" s="26" t="n">
        <v>46130</v>
      </c>
      <c r="R7" s="25" t="inlineStr">
        <is>
          <t>Consultant engaged</t>
        </is>
      </c>
    </row>
    <row r="8">
      <c r="A8" s="16" t="inlineStr">
        <is>
          <t>RSK-007</t>
        </is>
      </c>
      <c r="B8" s="17" t="n">
        <v>46054</v>
      </c>
      <c r="C8" s="16" t="inlineStr">
        <is>
          <t>Security</t>
        </is>
      </c>
      <c r="D8" s="16" t="inlineStr">
        <is>
          <t>CUI handling violations in home offices - risk of improper storage/display of CUI</t>
        </is>
      </c>
      <c r="E8" s="16" t="n">
        <v>3</v>
      </c>
      <c r="F8" s="16" t="n">
        <v>5</v>
      </c>
      <c r="G8" s="16">
        <f>E8*F8</f>
        <v/>
      </c>
      <c r="H8" s="16">
        <f>IF(G8&gt;=20,"Critical",IF(G8&gt;=12,"High",IF(G8&gt;=6,"Medium","Low")))</f>
        <v/>
      </c>
      <c r="I8" s="16" t="inlineStr">
        <is>
          <t>FSO/Security Lead</t>
        </is>
      </c>
      <c r="J8" s="16" t="inlineStr">
        <is>
          <t>Annual CUI training; virtual workspace inspections; secure printing policy</t>
        </is>
      </c>
      <c r="K8" s="16" t="inlineStr">
        <is>
          <t>In Progress</t>
        </is>
      </c>
      <c r="L8" s="16" t="inlineStr">
        <is>
          <t>Immediate access suspension; security incident report</t>
        </is>
      </c>
      <c r="M8" s="17" t="n">
        <v>46127</v>
      </c>
      <c r="N8" s="17" t="n"/>
      <c r="O8" s="16" t="inlineStr">
        <is>
          <t>Open</t>
        </is>
      </c>
      <c r="P8" s="16" t="inlineStr">
        <is>
          <t>Stable</t>
        </is>
      </c>
      <c r="Q8" s="17" t="n">
        <v>46130</v>
      </c>
      <c r="R8" s="16" t="inlineStr">
        <is>
          <t>1 minor finding corrected</t>
        </is>
      </c>
    </row>
    <row r="9">
      <c r="A9" s="16" t="inlineStr">
        <is>
          <t>RSK-008</t>
        </is>
      </c>
      <c r="B9" s="17" t="n">
        <v>46058</v>
      </c>
      <c r="C9" s="16" t="inlineStr">
        <is>
          <t>Staffing</t>
        </is>
      </c>
      <c r="D9" s="16" t="inlineStr">
        <is>
          <t>Supervisor span-of-control exceeded - team leads managing &gt;12 direct reports</t>
        </is>
      </c>
      <c r="E9" s="16" t="n">
        <v>4</v>
      </c>
      <c r="F9" s="16" t="n">
        <v>3</v>
      </c>
      <c r="G9" s="16">
        <f>E9*F9</f>
        <v/>
      </c>
      <c r="H9" s="16">
        <f>IF(G9&gt;=20,"Critical",IF(G9&gt;=12,"High",IF(G9&gt;=6,"Medium","Low")))</f>
        <v/>
      </c>
      <c r="I9" s="16" t="inlineStr">
        <is>
          <t>Program Manager</t>
        </is>
      </c>
      <c r="J9" s="16" t="inlineStr">
        <is>
          <t>Hire additional team leads; redistribute teams; senior rep promotion path</t>
        </is>
      </c>
      <c r="K9" s="16" t="inlineStr">
        <is>
          <t>In Progress</t>
        </is>
      </c>
      <c r="L9" s="16" t="inlineStr">
        <is>
          <t>Temporary supervisory support from PM</t>
        </is>
      </c>
      <c r="M9" s="17" t="n">
        <v>46157</v>
      </c>
      <c r="N9" s="17" t="n"/>
      <c r="O9" s="16" t="inlineStr">
        <is>
          <t>Open</t>
        </is>
      </c>
      <c r="P9" s="16" t="inlineStr">
        <is>
          <t>Increasing</t>
        </is>
      </c>
      <c r="Q9" s="17" t="n">
        <v>46130</v>
      </c>
      <c r="R9" s="16" t="inlineStr">
        <is>
          <t>Current ratio 1:10</t>
        </is>
      </c>
    </row>
    <row r="10">
      <c r="A10" s="25" t="inlineStr">
        <is>
          <t>RSK-009</t>
        </is>
      </c>
      <c r="B10" s="26" t="n">
        <v>46063</v>
      </c>
      <c r="C10" s="25" t="inlineStr">
        <is>
          <t>Quality</t>
        </is>
      </c>
      <c r="D10" s="25" t="inlineStr">
        <is>
          <t>Training completion delays - new hires not completing required training within 7 days</t>
        </is>
      </c>
      <c r="E10" s="25" t="n">
        <v>3</v>
      </c>
      <c r="F10" s="25" t="n">
        <v>3</v>
      </c>
      <c r="G10" s="25">
        <f>E10*F10</f>
        <v/>
      </c>
      <c r="H10" s="25">
        <f>IF(G10&gt;=20,"Critical",IF(G10&gt;=12,"High",IF(G10&gt;=6,"Medium","Low")))</f>
        <v/>
      </c>
      <c r="I10" s="25" t="inlineStr">
        <is>
          <t>Training Lead</t>
        </is>
      </c>
      <c r="J10" s="25" t="inlineStr">
        <is>
          <t>Structured training schedule; daily progress tracking; trainer capacity planning</t>
        </is>
      </c>
      <c r="K10" s="25" t="inlineStr">
        <is>
          <t>In Progress</t>
        </is>
      </c>
      <c r="L10" s="25" t="inlineStr">
        <is>
          <t>Extended training period; supervised production</t>
        </is>
      </c>
      <c r="M10" s="26" t="n">
        <v>46112</v>
      </c>
      <c r="N10" s="26" t="n"/>
      <c r="O10" s="25" t="inlineStr">
        <is>
          <t>Open</t>
        </is>
      </c>
      <c r="P10" s="25" t="inlineStr">
        <is>
          <t>Stable</t>
        </is>
      </c>
      <c r="Q10" s="26" t="n">
        <v>46130</v>
      </c>
      <c r="R10" s="25" t="inlineStr">
        <is>
          <t>4 employees with overdue modules</t>
        </is>
      </c>
    </row>
    <row r="11">
      <c r="A11" s="25" t="inlineStr">
        <is>
          <t>RSK-010</t>
        </is>
      </c>
      <c r="B11" s="26" t="n">
        <v>46068</v>
      </c>
      <c r="C11" s="25" t="inlineStr">
        <is>
          <t>Security</t>
        </is>
      </c>
      <c r="D11" s="25" t="inlineStr">
        <is>
          <t>Data breach via home network - unsecured home networks exposing government data</t>
        </is>
      </c>
      <c r="E11" s="25" t="n">
        <v>2</v>
      </c>
      <c r="F11" s="25" t="n">
        <v>5</v>
      </c>
      <c r="G11" s="25">
        <f>E11*F11</f>
        <v/>
      </c>
      <c r="H11" s="25">
        <f>IF(G11&gt;=20,"Critical",IF(G11&gt;=12,"High",IF(G11&gt;=6,"Medium","Low")))</f>
        <v/>
      </c>
      <c r="I11" s="25" t="inlineStr">
        <is>
          <t>IT/Equipment Lead</t>
        </is>
      </c>
      <c r="J11" s="25" t="inlineStr">
        <is>
          <t>Mandatory VPN; endpoint protection; network security assessment; encrypted drives</t>
        </is>
      </c>
      <c r="K11" s="25" t="inlineStr">
        <is>
          <t>Implemented</t>
        </is>
      </c>
      <c r="L11" s="25" t="inlineStr">
        <is>
          <t>Immediate access revocation; breach notification protocol</t>
        </is>
      </c>
      <c r="M11" s="26" t="n">
        <v>46096</v>
      </c>
      <c r="N11" s="26" t="n">
        <v>46091</v>
      </c>
      <c r="O11" s="25" t="inlineStr">
        <is>
          <t>Mitigated</t>
        </is>
      </c>
      <c r="P11" s="25" t="inlineStr">
        <is>
          <t>Stable</t>
        </is>
      </c>
      <c r="Q11" s="26" t="n">
        <v>46130</v>
      </c>
      <c r="R11" s="25" t="inlineStr">
        <is>
          <t>All endpoints secured</t>
        </is>
      </c>
    </row>
    <row r="12">
      <c r="A12" s="16" t="inlineStr">
        <is>
          <t>RSK-011</t>
        </is>
      </c>
      <c r="B12" s="17" t="n">
        <v>46073</v>
      </c>
      <c r="C12" s="16" t="inlineStr">
        <is>
          <t>Operational</t>
        </is>
      </c>
      <c r="D12" s="16" t="inlineStr">
        <is>
          <t>Key person dependencies - critical functions dependent on 1-2 individuals</t>
        </is>
      </c>
      <c r="E12" s="16" t="n">
        <v>3</v>
      </c>
      <c r="F12" s="16" t="n">
        <v>4</v>
      </c>
      <c r="G12" s="16">
        <f>E12*F12</f>
        <v/>
      </c>
      <c r="H12" s="16">
        <f>IF(G12&gt;=20,"Critical",IF(G12&gt;=12,"High",IF(G12&gt;=6,"Medium","Low")))</f>
        <v/>
      </c>
      <c r="I12" s="16" t="inlineStr">
        <is>
          <t>Program Manager</t>
        </is>
      </c>
      <c r="J12" s="16" t="inlineStr">
        <is>
          <t>Cross-training program; documentation of procedures; succession planning</t>
        </is>
      </c>
      <c r="K12" s="16" t="inlineStr">
        <is>
          <t>In Progress</t>
        </is>
      </c>
      <c r="L12" s="16" t="inlineStr">
        <is>
          <t>Temporary contractor support; overtime authorization</t>
        </is>
      </c>
      <c r="M12" s="17" t="n">
        <v>46173</v>
      </c>
      <c r="N12" s="17" t="n"/>
      <c r="O12" s="16" t="inlineStr">
        <is>
          <t>Open</t>
        </is>
      </c>
      <c r="P12" s="16" t="inlineStr">
        <is>
          <t>Stable</t>
        </is>
      </c>
      <c r="Q12" s="17" t="n">
        <v>46130</v>
      </c>
      <c r="R12" s="16" t="inlineStr">
        <is>
          <t>IT and QA identified as key</t>
        </is>
      </c>
    </row>
    <row r="13">
      <c r="A13" s="25" t="inlineStr">
        <is>
          <t>RSK-012</t>
        </is>
      </c>
      <c r="B13" s="26" t="n">
        <v>46082</v>
      </c>
      <c r="C13" s="25" t="inlineStr">
        <is>
          <t>Operational</t>
        </is>
      </c>
      <c r="D13" s="25" t="inlineStr">
        <is>
          <t>Subcontractor performance issues - staffing subcontractor missing delivery targets</t>
        </is>
      </c>
      <c r="E13" s="25" t="n">
        <v>2</v>
      </c>
      <c r="F13" s="25" t="n">
        <v>3</v>
      </c>
      <c r="G13" s="25">
        <f>E13*F13</f>
        <v/>
      </c>
      <c r="H13" s="25">
        <f>IF(G13&gt;=20,"Critical",IF(G13&gt;=12,"High",IF(G13&gt;=6,"Medium","Low")))</f>
        <v/>
      </c>
      <c r="I13" s="25" t="inlineStr">
        <is>
          <t>Contracting Officer</t>
        </is>
      </c>
      <c r="J13" s="25" t="inlineStr">
        <is>
          <t>Performance metrics in subcontract; monthly reviews; penalty clauses</t>
        </is>
      </c>
      <c r="K13" s="25" t="inlineStr">
        <is>
          <t>Monitoring</t>
        </is>
      </c>
      <c r="L13" s="25" t="inlineStr">
        <is>
          <t>Activate backup staffing vendor; direct hire conversion</t>
        </is>
      </c>
      <c r="M13" s="26" t="n">
        <v>46203</v>
      </c>
      <c r="N13" s="26" t="n"/>
      <c r="O13" s="25" t="inlineStr">
        <is>
          <t>Open</t>
        </is>
      </c>
      <c r="P13" s="25" t="inlineStr">
        <is>
          <t>Stable</t>
        </is>
      </c>
      <c r="Q13" s="26" t="n">
        <v>46130</v>
      </c>
      <c r="R13" s="25" t="inlineStr">
        <is>
          <t>Currently meeting targets</t>
        </is>
      </c>
    </row>
    <row r="14">
      <c r="A14" s="25" t="inlineStr">
        <is>
          <t>RSK-013</t>
        </is>
      </c>
      <c r="B14" s="26" t="n">
        <v>46086</v>
      </c>
      <c r="C14" s="25" t="inlineStr">
        <is>
          <t>Financial</t>
        </is>
      </c>
      <c r="D14" s="25" t="inlineStr">
        <is>
          <t>Contract modification delays - funding adjustments not processed timely</t>
        </is>
      </c>
      <c r="E14" s="25" t="n">
        <v>2</v>
      </c>
      <c r="F14" s="25" t="n">
        <v>4</v>
      </c>
      <c r="G14" s="25">
        <f>E14*F14</f>
        <v/>
      </c>
      <c r="H14" s="25">
        <f>IF(G14&gt;=20,"Critical",IF(G14&gt;=12,"High",IF(G14&gt;=6,"Medium","Low")))</f>
        <v/>
      </c>
      <c r="I14" s="25" t="inlineStr">
        <is>
          <t>Contracting Officer</t>
        </is>
      </c>
      <c r="J14" s="25" t="inlineStr">
        <is>
          <t>Early submission of mod requests; regular COR communication; tracking log</t>
        </is>
      </c>
      <c r="K14" s="25" t="inlineStr">
        <is>
          <t>Not Started</t>
        </is>
      </c>
      <c r="L14" s="25" t="inlineStr">
        <is>
          <t>Use existing funding flexibility; reduce scope temporarily</t>
        </is>
      </c>
      <c r="M14" s="26" t="n">
        <v>46173</v>
      </c>
      <c r="N14" s="26" t="n"/>
      <c r="O14" s="25" t="inlineStr">
        <is>
          <t>Open</t>
        </is>
      </c>
      <c r="P14" s="25" t="inlineStr">
        <is>
          <t>Stable</t>
        </is>
      </c>
      <c r="Q14" s="26" t="n">
        <v>46130</v>
      </c>
      <c r="R14" s="25" t="inlineStr">
        <is>
          <t>Mod pending for surge extension</t>
        </is>
      </c>
    </row>
    <row r="15">
      <c r="A15" s="25" t="inlineStr">
        <is>
          <t>RSK-014</t>
        </is>
      </c>
      <c r="B15" s="26" t="n">
        <v>46091</v>
      </c>
      <c r="C15" s="25" t="inlineStr">
        <is>
          <t>Technology</t>
        </is>
      </c>
      <c r="D15" s="25" t="inlineStr">
        <is>
          <t>IT help desk capacity - support tickets exceeding response SLAs</t>
        </is>
      </c>
      <c r="E15" s="25" t="n">
        <v>3</v>
      </c>
      <c r="F15" s="25" t="n">
        <v>3</v>
      </c>
      <c r="G15" s="25">
        <f>E15*F15</f>
        <v/>
      </c>
      <c r="H15" s="25">
        <f>IF(G15&gt;=20,"Critical",IF(G15&gt;=12,"High",IF(G15&gt;=6,"Medium","Low")))</f>
        <v/>
      </c>
      <c r="I15" s="25" t="inlineStr">
        <is>
          <t>IT/Equipment Lead</t>
        </is>
      </c>
      <c r="J15" s="25" t="inlineStr">
        <is>
          <t>Tier-1 self-service portal; knowledge base; additional help desk staff</t>
        </is>
      </c>
      <c r="K15" s="25" t="inlineStr">
        <is>
          <t>In Progress</t>
        </is>
      </c>
      <c r="L15" s="25" t="inlineStr">
        <is>
          <t>Escalation to vendor support; priority triage</t>
        </is>
      </c>
      <c r="M15" s="26" t="n">
        <v>46142</v>
      </c>
      <c r="N15" s="26" t="n"/>
      <c r="O15" s="25" t="inlineStr">
        <is>
          <t>Open</t>
        </is>
      </c>
      <c r="P15" s="25" t="inlineStr">
        <is>
          <t>Decreasing</t>
        </is>
      </c>
      <c r="Q15" s="26" t="n">
        <v>46130</v>
      </c>
      <c r="R15" s="25" t="inlineStr">
        <is>
          <t>New KB articles reducing tickets</t>
        </is>
      </c>
    </row>
    <row r="16">
      <c r="A16" s="16" t="inlineStr">
        <is>
          <t>RSK-015</t>
        </is>
      </c>
      <c r="B16" s="17" t="n">
        <v>46096</v>
      </c>
      <c r="C16" s="16" t="inlineStr">
        <is>
          <t>Staffing</t>
        </is>
      </c>
      <c r="D16" s="16" t="inlineStr">
        <is>
          <t>Employee burnout/disengagement - remote work isolation and high workload</t>
        </is>
      </c>
      <c r="E16" s="16" t="n">
        <v>3</v>
      </c>
      <c r="F16" s="16" t="n">
        <v>4</v>
      </c>
      <c r="G16" s="16">
        <f>E16*F16</f>
        <v/>
      </c>
      <c r="H16" s="16">
        <f>IF(G16&gt;=20,"Critical",IF(G16&gt;=12,"High",IF(G16&gt;=6,"Medium","Low")))</f>
        <v/>
      </c>
      <c r="I16" s="16" t="inlineStr">
        <is>
          <t>HR Manager</t>
        </is>
      </c>
      <c r="J16" s="16" t="inlineStr">
        <is>
          <t>Virtual social events; wellness resources; workload monitoring; flexible scheduling</t>
        </is>
      </c>
      <c r="K16" s="16" t="inlineStr">
        <is>
          <t>In Progress</t>
        </is>
      </c>
      <c r="L16" s="16" t="inlineStr">
        <is>
          <t>Mandatory time off; temporary workload reduction</t>
        </is>
      </c>
      <c r="M16" s="17" t="n">
        <v>46203</v>
      </c>
      <c r="N16" s="17" t="n"/>
      <c r="O16" s="16" t="inlineStr">
        <is>
          <t>Open</t>
        </is>
      </c>
      <c r="P16" s="16" t="inlineStr">
        <is>
          <t>Increasing</t>
        </is>
      </c>
      <c r="Q16" s="17" t="n">
        <v>46130</v>
      </c>
      <c r="R16" s="16" t="inlineStr">
        <is>
          <t>Survey shows moderate concern</t>
        </is>
      </c>
    </row>
  </sheetData>
  <dataValidations count="6">
    <dataValidation sqref="C2:C100" showDropDown="0" showInputMessage="0" showErrorMessage="0" allowBlank="1" type="list">
      <formula1>"Staffing,Security,Technology,Compliance,Quality,Financial,Operational"</formula1>
    </dataValidation>
    <dataValidation sqref="E2:E100" showDropDown="0" showInputMessage="0" showErrorMessage="1" allowBlank="1" error="Must be 1-5" type="whole" operator="between">
      <formula1>1</formula1>
      <formula2>5</formula2>
    </dataValidation>
    <dataValidation sqref="F2:F100" showDropDown="0" showInputMessage="0" showErrorMessage="1" allowBlank="1" error="Must be 1-5" type="whole" operator="between">
      <formula1>1</formula1>
      <formula2>5</formula2>
    </dataValidation>
    <dataValidation sqref="K2:K100" showDropDown="0" showInputMessage="0" showErrorMessage="0" allowBlank="1" type="list">
      <formula1>"Not Started,In Progress,Implemented,Monitoring"</formula1>
    </dataValidation>
    <dataValidation sqref="O2:O100" showDropDown="0" showInputMessage="0" showErrorMessage="0" allowBlank="1" type="list">
      <formula1>"Open,Mitigated,Closed,Escalated"</formula1>
    </dataValidation>
    <dataValidation sqref="P2:P100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7" t="inlineStr">
        <is>
          <t>Task</t>
        </is>
      </c>
      <c r="B1" s="27" t="inlineStr">
        <is>
          <t>Program Manager</t>
        </is>
      </c>
      <c r="C1" s="27" t="inlineStr">
        <is>
          <t>Recruiting Lead</t>
        </is>
      </c>
      <c r="D1" s="27" t="inlineStr">
        <is>
          <t>HR Manager</t>
        </is>
      </c>
      <c r="E1" s="27" t="inlineStr">
        <is>
          <t>FSO/Security Lead</t>
        </is>
      </c>
      <c r="F1" s="27" t="inlineStr">
        <is>
          <t>IT/Equipment Lead</t>
        </is>
      </c>
      <c r="G1" s="27" t="inlineStr">
        <is>
          <t>QA Lead</t>
        </is>
      </c>
      <c r="H1" s="27" t="inlineStr">
        <is>
          <t>Training Lead</t>
        </is>
      </c>
      <c r="I1" s="27" t="inlineStr">
        <is>
          <t>Supervisor</t>
        </is>
      </c>
      <c r="J1" s="27" t="inlineStr">
        <is>
          <t>Finance Lead</t>
        </is>
      </c>
      <c r="K1" s="27" t="inlineStr">
        <is>
          <t>Contracting Officer</t>
        </is>
      </c>
    </row>
    <row r="2">
      <c r="A2" s="28" t="inlineStr">
        <is>
          <t>Surge Authorization</t>
        </is>
      </c>
      <c r="B2" s="29" t="inlineStr">
        <is>
          <t>A</t>
        </is>
      </c>
      <c r="C2" s="30" t="inlineStr">
        <is>
          <t>C</t>
        </is>
      </c>
      <c r="D2" s="30" t="inlineStr">
        <is>
          <t>C</t>
        </is>
      </c>
      <c r="E2" s="31" t="inlineStr">
        <is>
          <t>I</t>
        </is>
      </c>
      <c r="F2" s="31" t="inlineStr">
        <is>
          <t>I</t>
        </is>
      </c>
      <c r="G2" s="31" t="inlineStr">
        <is>
          <t>I</t>
        </is>
      </c>
      <c r="H2" s="31" t="inlineStr">
        <is>
          <t>I</t>
        </is>
      </c>
      <c r="I2" s="31" t="inlineStr">
        <is>
          <t>I</t>
        </is>
      </c>
      <c r="J2" s="30" t="inlineStr">
        <is>
          <t>C</t>
        </is>
      </c>
      <c r="K2" s="32" t="inlineStr">
        <is>
          <t>R</t>
        </is>
      </c>
    </row>
    <row r="3">
      <c r="A3" s="28" t="inlineStr">
        <is>
          <t>Position Description Validation</t>
        </is>
      </c>
      <c r="B3" s="29" t="inlineStr">
        <is>
          <t>A</t>
        </is>
      </c>
      <c r="C3" s="32" t="inlineStr">
        <is>
          <t>R</t>
        </is>
      </c>
      <c r="D3" s="30" t="inlineStr">
        <is>
          <t>C</t>
        </is>
      </c>
      <c r="E3" s="31" t="inlineStr">
        <is>
          <t>I</t>
        </is>
      </c>
      <c r="F3" s="31" t="inlineStr">
        <is>
          <t>I</t>
        </is>
      </c>
      <c r="G3" s="30" t="inlineStr">
        <is>
          <t>C</t>
        </is>
      </c>
      <c r="H3" s="30" t="inlineStr">
        <is>
          <t>C</t>
        </is>
      </c>
      <c r="I3" s="30" t="inlineStr">
        <is>
          <t>C</t>
        </is>
      </c>
      <c r="J3" s="31" t="inlineStr">
        <is>
          <t>I</t>
        </is>
      </c>
      <c r="K3" s="31" t="inlineStr">
        <is>
          <t>I</t>
        </is>
      </c>
    </row>
    <row r="4">
      <c r="A4" s="28" t="inlineStr">
        <is>
          <t>Job Posting</t>
        </is>
      </c>
      <c r="B4" s="31" t="inlineStr">
        <is>
          <t>I</t>
        </is>
      </c>
      <c r="C4" s="29" t="inlineStr">
        <is>
          <t>A</t>
        </is>
      </c>
      <c r="D4" s="32" t="inlineStr">
        <is>
          <t>R</t>
        </is>
      </c>
      <c r="E4" s="31" t="inlineStr">
        <is>
          <t>I</t>
        </is>
      </c>
      <c r="F4" s="31" t="inlineStr">
        <is>
          <t>I</t>
        </is>
      </c>
      <c r="G4" s="31" t="inlineStr">
        <is>
          <t>I</t>
        </is>
      </c>
      <c r="H4" s="31" t="inlineStr">
        <is>
          <t>I</t>
        </is>
      </c>
      <c r="I4" s="31" t="inlineStr">
        <is>
          <t>I</t>
        </is>
      </c>
      <c r="J4" s="31" t="inlineStr">
        <is>
          <t>I</t>
        </is>
      </c>
      <c r="K4" s="31" t="inlineStr">
        <is>
          <t>I</t>
        </is>
      </c>
    </row>
    <row r="5">
      <c r="A5" s="28" t="inlineStr">
        <is>
          <t>Candidate Sourcing</t>
        </is>
      </c>
      <c r="B5" s="31" t="inlineStr">
        <is>
          <t>I</t>
        </is>
      </c>
      <c r="C5" s="29" t="inlineStr">
        <is>
          <t>A</t>
        </is>
      </c>
      <c r="D5" s="32" t="inlineStr">
        <is>
          <t>R</t>
        </is>
      </c>
      <c r="E5" s="31" t="inlineStr">
        <is>
          <t>I</t>
        </is>
      </c>
      <c r="F5" s="31" t="inlineStr">
        <is>
          <t>I</t>
        </is>
      </c>
      <c r="G5" s="31" t="inlineStr">
        <is>
          <t>I</t>
        </is>
      </c>
      <c r="H5" s="31" t="inlineStr">
        <is>
          <t>I</t>
        </is>
      </c>
      <c r="I5" s="30" t="inlineStr">
        <is>
          <t>C</t>
        </is>
      </c>
      <c r="J5" s="31" t="inlineStr">
        <is>
          <t>I</t>
        </is>
      </c>
      <c r="K5" s="31" t="inlineStr">
        <is>
          <t>I</t>
        </is>
      </c>
    </row>
    <row r="6">
      <c r="A6" s="28" t="inlineStr">
        <is>
          <t>Resume Screening</t>
        </is>
      </c>
      <c r="B6" s="31" t="inlineStr">
        <is>
          <t>I</t>
        </is>
      </c>
      <c r="C6" s="29" t="inlineStr">
        <is>
          <t>A</t>
        </is>
      </c>
      <c r="D6" s="32" t="inlineStr">
        <is>
          <t>R</t>
        </is>
      </c>
      <c r="E6" s="31" t="inlineStr">
        <is>
          <t>I</t>
        </is>
      </c>
      <c r="F6" s="31" t="inlineStr">
        <is>
          <t>I</t>
        </is>
      </c>
      <c r="G6" s="31" t="inlineStr">
        <is>
          <t>I</t>
        </is>
      </c>
      <c r="H6" s="31" t="inlineStr">
        <is>
          <t>I</t>
        </is>
      </c>
      <c r="I6" s="30" t="inlineStr">
        <is>
          <t>C</t>
        </is>
      </c>
      <c r="J6" s="31" t="inlineStr">
        <is>
          <t>I</t>
        </is>
      </c>
      <c r="K6" s="31" t="inlineStr">
        <is>
          <t>I</t>
        </is>
      </c>
    </row>
    <row r="7">
      <c r="A7" s="28" t="inlineStr">
        <is>
          <t>Interview Scheduling</t>
        </is>
      </c>
      <c r="B7" s="31" t="inlineStr">
        <is>
          <t>I</t>
        </is>
      </c>
      <c r="C7" s="30" t="inlineStr">
        <is>
          <t>C</t>
        </is>
      </c>
      <c r="D7" s="29" t="inlineStr">
        <is>
          <t>A</t>
        </is>
      </c>
      <c r="E7" s="31" t="inlineStr">
        <is>
          <t>I</t>
        </is>
      </c>
      <c r="F7" s="31" t="inlineStr">
        <is>
          <t>I</t>
        </is>
      </c>
      <c r="G7" s="31" t="inlineStr">
        <is>
          <t>I</t>
        </is>
      </c>
      <c r="H7" s="31" t="inlineStr">
        <is>
          <t>I</t>
        </is>
      </c>
      <c r="I7" s="32" t="inlineStr">
        <is>
          <t>R</t>
        </is>
      </c>
      <c r="J7" s="31" t="inlineStr">
        <is>
          <t>I</t>
        </is>
      </c>
      <c r="K7" s="31" t="inlineStr">
        <is>
          <t>I</t>
        </is>
      </c>
    </row>
    <row r="8">
      <c r="A8" s="28" t="inlineStr">
        <is>
          <t>Candidate Scoring</t>
        </is>
      </c>
      <c r="B8" s="31" t="inlineStr">
        <is>
          <t>I</t>
        </is>
      </c>
      <c r="C8" s="30" t="inlineStr">
        <is>
          <t>C</t>
        </is>
      </c>
      <c r="D8" s="30" t="inlineStr">
        <is>
          <t>C</t>
        </is>
      </c>
      <c r="E8" s="31" t="inlineStr">
        <is>
          <t>I</t>
        </is>
      </c>
      <c r="F8" s="31" t="inlineStr">
        <is>
          <t>I</t>
        </is>
      </c>
      <c r="G8" s="31" t="inlineStr">
        <is>
          <t>I</t>
        </is>
      </c>
      <c r="H8" s="31" t="inlineStr">
        <is>
          <t>I</t>
        </is>
      </c>
      <c r="I8" s="29" t="inlineStr">
        <is>
          <t>A</t>
        </is>
      </c>
      <c r="J8" s="31" t="inlineStr">
        <is>
          <t>I</t>
        </is>
      </c>
      <c r="K8" s="31" t="inlineStr">
        <is>
          <t>I</t>
        </is>
      </c>
    </row>
    <row r="9">
      <c r="A9" s="28" t="inlineStr">
        <is>
          <t>Reference Checks</t>
        </is>
      </c>
      <c r="B9" s="31" t="inlineStr">
        <is>
          <t>I</t>
        </is>
      </c>
      <c r="C9" s="30" t="inlineStr">
        <is>
          <t>C</t>
        </is>
      </c>
      <c r="D9" s="29" t="inlineStr">
        <is>
          <t>A</t>
        </is>
      </c>
      <c r="E9" s="31" t="inlineStr">
        <is>
          <t>I</t>
        </is>
      </c>
      <c r="F9" s="31" t="inlineStr">
        <is>
          <t>I</t>
        </is>
      </c>
      <c r="G9" s="31" t="inlineStr">
        <is>
          <t>I</t>
        </is>
      </c>
      <c r="H9" s="31" t="inlineStr">
        <is>
          <t>I</t>
        </is>
      </c>
      <c r="I9" s="32" t="inlineStr">
        <is>
          <t>R</t>
        </is>
      </c>
      <c r="J9" s="31" t="inlineStr">
        <is>
          <t>I</t>
        </is>
      </c>
      <c r="K9" s="31" t="inlineStr">
        <is>
          <t>I</t>
        </is>
      </c>
    </row>
    <row r="10">
      <c r="A10" s="28" t="inlineStr">
        <is>
          <t>Offer Generation</t>
        </is>
      </c>
      <c r="B10" s="29" t="inlineStr">
        <is>
          <t>A</t>
        </is>
      </c>
      <c r="C10" s="30" t="inlineStr">
        <is>
          <t>C</t>
        </is>
      </c>
      <c r="D10" s="32" t="inlineStr">
        <is>
          <t>R</t>
        </is>
      </c>
      <c r="E10" s="31" t="inlineStr">
        <is>
          <t>I</t>
        </is>
      </c>
      <c r="F10" s="31" t="inlineStr">
        <is>
          <t>I</t>
        </is>
      </c>
      <c r="G10" s="31" t="inlineStr">
        <is>
          <t>I</t>
        </is>
      </c>
      <c r="H10" s="31" t="inlineStr">
        <is>
          <t>I</t>
        </is>
      </c>
      <c r="I10" s="31" t="inlineStr">
        <is>
          <t>I</t>
        </is>
      </c>
      <c r="J10" s="30" t="inlineStr">
        <is>
          <t>C</t>
        </is>
      </c>
      <c r="K10" s="31" t="inlineStr">
        <is>
          <t>I</t>
        </is>
      </c>
    </row>
    <row r="11">
      <c r="A11" s="28" t="inlineStr">
        <is>
          <t>Offer Approval</t>
        </is>
      </c>
      <c r="B11" s="29" t="inlineStr">
        <is>
          <t>A</t>
        </is>
      </c>
      <c r="C11" s="31" t="inlineStr">
        <is>
          <t>I</t>
        </is>
      </c>
      <c r="D11" s="32" t="inlineStr">
        <is>
          <t>R</t>
        </is>
      </c>
      <c r="E11" s="31" t="inlineStr">
        <is>
          <t>I</t>
        </is>
      </c>
      <c r="F11" s="31" t="inlineStr">
        <is>
          <t>I</t>
        </is>
      </c>
      <c r="G11" s="31" t="inlineStr">
        <is>
          <t>I</t>
        </is>
      </c>
      <c r="H11" s="31" t="inlineStr">
        <is>
          <t>I</t>
        </is>
      </c>
      <c r="I11" s="31" t="inlineStr">
        <is>
          <t>I</t>
        </is>
      </c>
      <c r="J11" s="30" t="inlineStr">
        <is>
          <t>C</t>
        </is>
      </c>
      <c r="K11" s="30" t="inlineStr">
        <is>
          <t>C</t>
        </is>
      </c>
    </row>
    <row r="12">
      <c r="A12" s="28" t="inlineStr">
        <is>
          <t>e-QIP Initiation</t>
        </is>
      </c>
      <c r="B12" s="31" t="inlineStr">
        <is>
          <t>I</t>
        </is>
      </c>
      <c r="C12" s="31" t="inlineStr">
        <is>
          <t>I</t>
        </is>
      </c>
      <c r="D12" s="30" t="inlineStr">
        <is>
          <t>C</t>
        </is>
      </c>
      <c r="E12" s="29" t="inlineStr">
        <is>
          <t>A</t>
        </is>
      </c>
      <c r="F12" s="31" t="inlineStr">
        <is>
          <t>I</t>
        </is>
      </c>
      <c r="G12" s="31" t="inlineStr">
        <is>
          <t>I</t>
        </is>
      </c>
      <c r="H12" s="31" t="inlineStr">
        <is>
          <t>I</t>
        </is>
      </c>
      <c r="I12" s="31" t="inlineStr">
        <is>
          <t>I</t>
        </is>
      </c>
      <c r="J12" s="31" t="inlineStr">
        <is>
          <t>I</t>
        </is>
      </c>
      <c r="K12" s="31" t="inlineStr">
        <is>
          <t>I</t>
        </is>
      </c>
    </row>
    <row r="13">
      <c r="A13" s="28" t="inlineStr">
        <is>
          <t>Clearance Processing</t>
        </is>
      </c>
      <c r="B13" s="31" t="inlineStr">
        <is>
          <t>I</t>
        </is>
      </c>
      <c r="C13" s="31" t="inlineStr">
        <is>
          <t>I</t>
        </is>
      </c>
      <c r="D13" s="31" t="inlineStr">
        <is>
          <t>I</t>
        </is>
      </c>
      <c r="E13" s="29" t="inlineStr">
        <is>
          <t>A</t>
        </is>
      </c>
      <c r="F13" s="31" t="inlineStr">
        <is>
          <t>I</t>
        </is>
      </c>
      <c r="G13" s="31" t="inlineStr">
        <is>
          <t>I</t>
        </is>
      </c>
      <c r="H13" s="31" t="inlineStr">
        <is>
          <t>I</t>
        </is>
      </c>
      <c r="I13" s="31" t="inlineStr">
        <is>
          <t>I</t>
        </is>
      </c>
      <c r="J13" s="31" t="inlineStr">
        <is>
          <t>I</t>
        </is>
      </c>
      <c r="K13" s="30" t="inlineStr">
        <is>
          <t>C</t>
        </is>
      </c>
    </row>
    <row r="14">
      <c r="A14" s="28" t="inlineStr">
        <is>
          <t>Equipment Procurement</t>
        </is>
      </c>
      <c r="B14" s="31" t="inlineStr">
        <is>
          <t>I</t>
        </is>
      </c>
      <c r="C14" s="31" t="inlineStr">
        <is>
          <t>I</t>
        </is>
      </c>
      <c r="D14" s="31" t="inlineStr">
        <is>
          <t>I</t>
        </is>
      </c>
      <c r="E14" s="31" t="inlineStr">
        <is>
          <t>I</t>
        </is>
      </c>
      <c r="F14" s="29" t="inlineStr">
        <is>
          <t>A</t>
        </is>
      </c>
      <c r="G14" s="31" t="inlineStr">
        <is>
          <t>I</t>
        </is>
      </c>
      <c r="H14" s="31" t="inlineStr">
        <is>
          <t>I</t>
        </is>
      </c>
      <c r="I14" s="31" t="inlineStr">
        <is>
          <t>I</t>
        </is>
      </c>
      <c r="J14" s="32" t="inlineStr">
        <is>
          <t>R</t>
        </is>
      </c>
      <c r="K14" s="30" t="inlineStr">
        <is>
          <t>C</t>
        </is>
      </c>
    </row>
    <row r="15">
      <c r="A15" s="28" t="inlineStr">
        <is>
          <t>Equipment Shipping</t>
        </is>
      </c>
      <c r="B15" s="31" t="inlineStr">
        <is>
          <t>I</t>
        </is>
      </c>
      <c r="C15" s="31" t="inlineStr">
        <is>
          <t>I</t>
        </is>
      </c>
      <c r="D15" s="31" t="inlineStr">
        <is>
          <t>I</t>
        </is>
      </c>
      <c r="E15" s="31" t="inlineStr">
        <is>
          <t>I</t>
        </is>
      </c>
      <c r="F15" s="29" t="inlineStr">
        <is>
          <t>A</t>
        </is>
      </c>
      <c r="G15" s="31" t="inlineStr">
        <is>
          <t>I</t>
        </is>
      </c>
      <c r="H15" s="31" t="inlineStr">
        <is>
          <t>I</t>
        </is>
      </c>
      <c r="I15" s="31" t="inlineStr">
        <is>
          <t>I</t>
        </is>
      </c>
      <c r="J15" s="31" t="inlineStr">
        <is>
          <t>I</t>
        </is>
      </c>
      <c r="K15" s="31" t="inlineStr">
        <is>
          <t>I</t>
        </is>
      </c>
    </row>
    <row r="16">
      <c r="A16" s="28" t="inlineStr">
        <is>
          <t>IT Access Provisioning</t>
        </is>
      </c>
      <c r="B16" s="31" t="inlineStr">
        <is>
          <t>I</t>
        </is>
      </c>
      <c r="C16" s="31" t="inlineStr">
        <is>
          <t>I</t>
        </is>
      </c>
      <c r="D16" s="31" t="inlineStr">
        <is>
          <t>I</t>
        </is>
      </c>
      <c r="E16" s="30" t="inlineStr">
        <is>
          <t>C</t>
        </is>
      </c>
      <c r="F16" s="29" t="inlineStr">
        <is>
          <t>A</t>
        </is>
      </c>
      <c r="G16" s="31" t="inlineStr">
        <is>
          <t>I</t>
        </is>
      </c>
      <c r="H16" s="31" t="inlineStr">
        <is>
          <t>I</t>
        </is>
      </c>
      <c r="I16" s="31" t="inlineStr">
        <is>
          <t>I</t>
        </is>
      </c>
      <c r="J16" s="31" t="inlineStr">
        <is>
          <t>I</t>
        </is>
      </c>
      <c r="K16" s="31" t="inlineStr">
        <is>
          <t>I</t>
        </is>
      </c>
    </row>
    <row r="17">
      <c r="A17" s="28" t="inlineStr">
        <is>
          <t>New Hire Orientation</t>
        </is>
      </c>
      <c r="B17" s="31" t="inlineStr">
        <is>
          <t>I</t>
        </is>
      </c>
      <c r="C17" s="31" t="inlineStr">
        <is>
          <t>I</t>
        </is>
      </c>
      <c r="D17" s="32" t="inlineStr">
        <is>
          <t>R</t>
        </is>
      </c>
      <c r="E17" s="30" t="inlineStr">
        <is>
          <t>C</t>
        </is>
      </c>
      <c r="F17" s="30" t="inlineStr">
        <is>
          <t>C</t>
        </is>
      </c>
      <c r="G17" s="30" t="inlineStr">
        <is>
          <t>C</t>
        </is>
      </c>
      <c r="H17" s="29" t="inlineStr">
        <is>
          <t>A</t>
        </is>
      </c>
      <c r="I17" s="30" t="inlineStr">
        <is>
          <t>C</t>
        </is>
      </c>
      <c r="J17" s="31" t="inlineStr">
        <is>
          <t>I</t>
        </is>
      </c>
      <c r="K17" s="31" t="inlineStr">
        <is>
          <t>I</t>
        </is>
      </c>
    </row>
    <row r="18">
      <c r="A18" s="28" t="inlineStr">
        <is>
          <t>Position-Specific Training</t>
        </is>
      </c>
      <c r="B18" s="31" t="inlineStr">
        <is>
          <t>I</t>
        </is>
      </c>
      <c r="C18" s="31" t="inlineStr">
        <is>
          <t>I</t>
        </is>
      </c>
      <c r="D18" s="31" t="inlineStr">
        <is>
          <t>I</t>
        </is>
      </c>
      <c r="E18" s="31" t="inlineStr">
        <is>
          <t>I</t>
        </is>
      </c>
      <c r="F18" s="31" t="inlineStr">
        <is>
          <t>I</t>
        </is>
      </c>
      <c r="G18" s="30" t="inlineStr">
        <is>
          <t>C</t>
        </is>
      </c>
      <c r="H18" s="29" t="inlineStr">
        <is>
          <t>A</t>
        </is>
      </c>
      <c r="I18" s="32" t="inlineStr">
        <is>
          <t>R</t>
        </is>
      </c>
      <c r="J18" s="31" t="inlineStr">
        <is>
          <t>I</t>
        </is>
      </c>
      <c r="K18" s="31" t="inlineStr">
        <is>
          <t>I</t>
        </is>
      </c>
    </row>
    <row r="19">
      <c r="A19" s="28" t="inlineStr">
        <is>
          <t>Quality Monitoring</t>
        </is>
      </c>
      <c r="B19" s="31" t="inlineStr">
        <is>
          <t>I</t>
        </is>
      </c>
      <c r="C19" s="31" t="inlineStr">
        <is>
          <t>I</t>
        </is>
      </c>
      <c r="D19" s="31" t="inlineStr">
        <is>
          <t>I</t>
        </is>
      </c>
      <c r="E19" s="31" t="inlineStr">
        <is>
          <t>I</t>
        </is>
      </c>
      <c r="F19" s="31" t="inlineStr">
        <is>
          <t>I</t>
        </is>
      </c>
      <c r="G19" s="29" t="inlineStr">
        <is>
          <t>A</t>
        </is>
      </c>
      <c r="H19" s="31" t="inlineStr">
        <is>
          <t>I</t>
        </is>
      </c>
      <c r="I19" s="32" t="inlineStr">
        <is>
          <t>R</t>
        </is>
      </c>
      <c r="J19" s="31" t="inlineStr">
        <is>
          <t>I</t>
        </is>
      </c>
      <c r="K19" s="31" t="inlineStr">
        <is>
          <t>I</t>
        </is>
      </c>
    </row>
    <row r="20">
      <c r="A20" s="28" t="inlineStr">
        <is>
          <t>Daily Standups</t>
        </is>
      </c>
      <c r="B20" s="31" t="inlineStr">
        <is>
          <t>I</t>
        </is>
      </c>
      <c r="C20" s="31" t="inlineStr">
        <is>
          <t>I</t>
        </is>
      </c>
      <c r="D20" s="31" t="inlineStr">
        <is>
          <t>I</t>
        </is>
      </c>
      <c r="E20" s="31" t="inlineStr">
        <is>
          <t>I</t>
        </is>
      </c>
      <c r="F20" s="31" t="inlineStr">
        <is>
          <t>I</t>
        </is>
      </c>
      <c r="G20" s="30" t="inlineStr">
        <is>
          <t>C</t>
        </is>
      </c>
      <c r="H20" s="31" t="inlineStr">
        <is>
          <t>I</t>
        </is>
      </c>
      <c r="I20" s="29" t="inlineStr">
        <is>
          <t>A</t>
        </is>
      </c>
      <c r="J20" s="31" t="inlineStr">
        <is>
          <t>I</t>
        </is>
      </c>
      <c r="K20" s="31" t="inlineStr">
        <is>
          <t>I</t>
        </is>
      </c>
    </row>
    <row r="21">
      <c r="A21" s="28" t="inlineStr">
        <is>
          <t>Staffing Reports</t>
        </is>
      </c>
      <c r="B21" s="29" t="inlineStr">
        <is>
          <t>A</t>
        </is>
      </c>
      <c r="C21" s="32" t="inlineStr">
        <is>
          <t>R</t>
        </is>
      </c>
      <c r="D21" s="30" t="inlineStr">
        <is>
          <t>C</t>
        </is>
      </c>
      <c r="E21" s="31" t="inlineStr">
        <is>
          <t>I</t>
        </is>
      </c>
      <c r="F21" s="31" t="inlineStr">
        <is>
          <t>I</t>
        </is>
      </c>
      <c r="G21" s="31" t="inlineStr">
        <is>
          <t>I</t>
        </is>
      </c>
      <c r="H21" s="31" t="inlineStr">
        <is>
          <t>I</t>
        </is>
      </c>
      <c r="I21" s="31" t="inlineStr">
        <is>
          <t>I</t>
        </is>
      </c>
      <c r="J21" s="31" t="inlineStr">
        <is>
          <t>I</t>
        </is>
      </c>
      <c r="K21" s="31" t="inlineStr">
        <is>
          <t>I</t>
        </is>
      </c>
    </row>
    <row r="22">
      <c r="A22" s="28" t="inlineStr">
        <is>
          <t>Risk Reviews</t>
        </is>
      </c>
      <c r="B22" s="29" t="inlineStr">
        <is>
          <t>A</t>
        </is>
      </c>
      <c r="C22" s="30" t="inlineStr">
        <is>
          <t>C</t>
        </is>
      </c>
      <c r="D22" s="30" t="inlineStr">
        <is>
          <t>C</t>
        </is>
      </c>
      <c r="E22" s="30" t="inlineStr">
        <is>
          <t>C</t>
        </is>
      </c>
      <c r="F22" s="30" t="inlineStr">
        <is>
          <t>C</t>
        </is>
      </c>
      <c r="G22" s="30" t="inlineStr">
        <is>
          <t>C</t>
        </is>
      </c>
      <c r="H22" s="30" t="inlineStr">
        <is>
          <t>C</t>
        </is>
      </c>
      <c r="I22" s="30" t="inlineStr">
        <is>
          <t>C</t>
        </is>
      </c>
      <c r="J22" s="30" t="inlineStr">
        <is>
          <t>C</t>
        </is>
      </c>
      <c r="K22" s="31" t="inlineStr">
        <is>
          <t>I</t>
        </is>
      </c>
    </row>
    <row r="23">
      <c r="A23" s="28" t="inlineStr">
        <is>
          <t>Retention Check-Ins</t>
        </is>
      </c>
      <c r="B23" s="31" t="inlineStr">
        <is>
          <t>I</t>
        </is>
      </c>
      <c r="C23" s="31" t="inlineStr">
        <is>
          <t>I</t>
        </is>
      </c>
      <c r="D23" s="30" t="inlineStr">
        <is>
          <t>C</t>
        </is>
      </c>
      <c r="E23" s="31" t="inlineStr">
        <is>
          <t>I</t>
        </is>
      </c>
      <c r="F23" s="31" t="inlineStr">
        <is>
          <t>I</t>
        </is>
      </c>
      <c r="G23" s="31" t="inlineStr">
        <is>
          <t>I</t>
        </is>
      </c>
      <c r="H23" s="31" t="inlineStr">
        <is>
          <t>I</t>
        </is>
      </c>
      <c r="I23" s="29" t="inlineStr">
        <is>
          <t>A</t>
        </is>
      </c>
      <c r="J23" s="31" t="inlineStr">
        <is>
          <t>I</t>
        </is>
      </c>
      <c r="K23" s="31" t="inlineStr">
        <is>
          <t>I</t>
        </is>
      </c>
    </row>
    <row r="24">
      <c r="A24" s="28" t="inlineStr">
        <is>
          <t>Performance Management</t>
        </is>
      </c>
      <c r="B24" s="30" t="inlineStr">
        <is>
          <t>C</t>
        </is>
      </c>
      <c r="C24" s="31" t="inlineStr">
        <is>
          <t>I</t>
        </is>
      </c>
      <c r="D24" s="30" t="inlineStr">
        <is>
          <t>C</t>
        </is>
      </c>
      <c r="E24" s="31" t="inlineStr">
        <is>
          <t>I</t>
        </is>
      </c>
      <c r="F24" s="31" t="inlineStr">
        <is>
          <t>I</t>
        </is>
      </c>
      <c r="G24" s="32" t="inlineStr">
        <is>
          <t>R</t>
        </is>
      </c>
      <c r="H24" s="31" t="inlineStr">
        <is>
          <t>I</t>
        </is>
      </c>
      <c r="I24" s="29" t="inlineStr">
        <is>
          <t>A</t>
        </is>
      </c>
      <c r="J24" s="31" t="inlineStr">
        <is>
          <t>I</t>
        </is>
      </c>
      <c r="K24" s="31" t="inlineStr">
        <is>
          <t>I</t>
        </is>
      </c>
    </row>
    <row r="25">
      <c r="A25" s="28" t="inlineStr">
        <is>
          <t>Disciplinary Actions</t>
        </is>
      </c>
      <c r="B25" s="30" t="inlineStr">
        <is>
          <t>C</t>
        </is>
      </c>
      <c r="C25" s="31" t="inlineStr">
        <is>
          <t>I</t>
        </is>
      </c>
      <c r="D25" s="29" t="inlineStr">
        <is>
          <t>A</t>
        </is>
      </c>
      <c r="E25" s="31" t="inlineStr">
        <is>
          <t>I</t>
        </is>
      </c>
      <c r="F25" s="31" t="inlineStr">
        <is>
          <t>I</t>
        </is>
      </c>
      <c r="G25" s="31" t="inlineStr">
        <is>
          <t>I</t>
        </is>
      </c>
      <c r="H25" s="31" t="inlineStr">
        <is>
          <t>I</t>
        </is>
      </c>
      <c r="I25" s="32" t="inlineStr">
        <is>
          <t>R</t>
        </is>
      </c>
      <c r="J25" s="31" t="inlineStr">
        <is>
          <t>I</t>
        </is>
      </c>
      <c r="K25" s="31" t="inlineStr">
        <is>
          <t>I</t>
        </is>
      </c>
    </row>
    <row r="26">
      <c r="A26" s="28" t="inlineStr">
        <is>
          <t>Separation Processing</t>
        </is>
      </c>
      <c r="B26" s="31" t="inlineStr">
        <is>
          <t>I</t>
        </is>
      </c>
      <c r="C26" s="31" t="inlineStr">
        <is>
          <t>I</t>
        </is>
      </c>
      <c r="D26" s="29" t="inlineStr">
        <is>
          <t>A</t>
        </is>
      </c>
      <c r="E26" s="32" t="inlineStr">
        <is>
          <t>R</t>
        </is>
      </c>
      <c r="F26" s="32" t="inlineStr">
        <is>
          <t>R</t>
        </is>
      </c>
      <c r="G26" s="31" t="inlineStr">
        <is>
          <t>I</t>
        </is>
      </c>
      <c r="H26" s="31" t="inlineStr">
        <is>
          <t>I</t>
        </is>
      </c>
      <c r="I26" s="30" t="inlineStr">
        <is>
          <t>C</t>
        </is>
      </c>
      <c r="J26" s="30" t="inlineStr">
        <is>
          <t>C</t>
        </is>
      </c>
      <c r="K26" s="31" t="inlineStr">
        <is>
          <t>I</t>
        </is>
      </c>
    </row>
    <row r="27">
      <c r="A27" s="28" t="inlineStr">
        <is>
          <t>After-Action Report</t>
        </is>
      </c>
      <c r="B27" s="29" t="inlineStr">
        <is>
          <t>A</t>
        </is>
      </c>
      <c r="C27" s="30" t="inlineStr">
        <is>
          <t>C</t>
        </is>
      </c>
      <c r="D27" s="30" t="inlineStr">
        <is>
          <t>C</t>
        </is>
      </c>
      <c r="E27" s="30" t="inlineStr">
        <is>
          <t>C</t>
        </is>
      </c>
      <c r="F27" s="30" t="inlineStr">
        <is>
          <t>C</t>
        </is>
      </c>
      <c r="G27" s="30" t="inlineStr">
        <is>
          <t>C</t>
        </is>
      </c>
      <c r="H27" s="30" t="inlineStr">
        <is>
          <t>C</t>
        </is>
      </c>
      <c r="I27" s="30" t="inlineStr">
        <is>
          <t>C</t>
        </is>
      </c>
      <c r="J27" s="30" t="inlineStr">
        <is>
          <t>C</t>
        </is>
      </c>
      <c r="K27" s="31" t="inlineStr">
        <is>
          <t>I</t>
        </is>
      </c>
    </row>
    <row r="28">
      <c r="A28" s="28" t="inlineStr">
        <is>
          <t>Budget Tracking</t>
        </is>
      </c>
      <c r="B28" s="30" t="inlineStr">
        <is>
          <t>C</t>
        </is>
      </c>
      <c r="C28" s="31" t="inlineStr">
        <is>
          <t>I</t>
        </is>
      </c>
      <c r="D28" s="31" t="inlineStr">
        <is>
          <t>I</t>
        </is>
      </c>
      <c r="E28" s="31" t="inlineStr">
        <is>
          <t>I</t>
        </is>
      </c>
      <c r="F28" s="31" t="inlineStr">
        <is>
          <t>I</t>
        </is>
      </c>
      <c r="G28" s="31" t="inlineStr">
        <is>
          <t>I</t>
        </is>
      </c>
      <c r="H28" s="31" t="inlineStr">
        <is>
          <t>I</t>
        </is>
      </c>
      <c r="I28" s="31" t="inlineStr">
        <is>
          <t>I</t>
        </is>
      </c>
      <c r="J28" s="29" t="inlineStr">
        <is>
          <t>A</t>
        </is>
      </c>
      <c r="K28" s="32" t="inlineStr">
        <is>
          <t>R</t>
        </is>
      </c>
    </row>
    <row r="29">
      <c r="A29" s="28" t="inlineStr">
        <is>
          <t>Compliance Audits</t>
        </is>
      </c>
      <c r="B29" s="30" t="inlineStr">
        <is>
          <t>C</t>
        </is>
      </c>
      <c r="C29" s="31" t="inlineStr">
        <is>
          <t>I</t>
        </is>
      </c>
      <c r="D29" s="32" t="inlineStr">
        <is>
          <t>R</t>
        </is>
      </c>
      <c r="E29" s="32" t="inlineStr">
        <is>
          <t>R</t>
        </is>
      </c>
      <c r="F29" s="32" t="inlineStr">
        <is>
          <t>R</t>
        </is>
      </c>
      <c r="G29" s="32" t="inlineStr">
        <is>
          <t>R</t>
        </is>
      </c>
      <c r="H29" s="32" t="inlineStr">
        <is>
          <t>R</t>
        </is>
      </c>
      <c r="I29" s="31" t="inlineStr">
        <is>
          <t>I</t>
        </is>
      </c>
      <c r="J29" s="31" t="inlineStr">
        <is>
          <t>I</t>
        </is>
      </c>
      <c r="K29" s="29" t="inlineStr">
        <is>
          <t>A</t>
        </is>
      </c>
    </row>
    <row r="30">
      <c r="A30" s="28" t="inlineStr">
        <is>
          <t>Workspace Verification</t>
        </is>
      </c>
      <c r="B30" s="31" t="inlineStr">
        <is>
          <t>I</t>
        </is>
      </c>
      <c r="C30" s="31" t="inlineStr">
        <is>
          <t>I</t>
        </is>
      </c>
      <c r="D30" s="31" t="inlineStr">
        <is>
          <t>I</t>
        </is>
      </c>
      <c r="E30" s="32" t="inlineStr">
        <is>
          <t>R</t>
        </is>
      </c>
      <c r="F30" s="30" t="inlineStr">
        <is>
          <t>C</t>
        </is>
      </c>
      <c r="G30" s="31" t="inlineStr">
        <is>
          <t>I</t>
        </is>
      </c>
      <c r="H30" s="31" t="inlineStr">
        <is>
          <t>I</t>
        </is>
      </c>
      <c r="I30" s="29" t="inlineStr">
        <is>
          <t>A</t>
        </is>
      </c>
      <c r="J30" s="31" t="inlineStr">
        <is>
          <t>I</t>
        </is>
      </c>
      <c r="K30" s="31" t="inlineStr">
        <is>
          <t>I</t>
        </is>
      </c>
    </row>
    <row r="31">
      <c r="A31" s="28" t="inlineStr">
        <is>
          <t>Security Incident Response</t>
        </is>
      </c>
      <c r="B31" s="30" t="inlineStr">
        <is>
          <t>C</t>
        </is>
      </c>
      <c r="C31" s="31" t="inlineStr">
        <is>
          <t>I</t>
        </is>
      </c>
      <c r="D31" s="31" t="inlineStr">
        <is>
          <t>I</t>
        </is>
      </c>
      <c r="E31" s="29" t="inlineStr">
        <is>
          <t>A</t>
        </is>
      </c>
      <c r="F31" s="32" t="inlineStr">
        <is>
          <t>R</t>
        </is>
      </c>
      <c r="G31" s="31" t="inlineStr">
        <is>
          <t>I</t>
        </is>
      </c>
      <c r="H31" s="31" t="inlineStr">
        <is>
          <t>I</t>
        </is>
      </c>
      <c r="I31" s="31" t="inlineStr">
        <is>
          <t>I</t>
        </is>
      </c>
      <c r="J31" s="31" t="inlineStr">
        <is>
          <t>I</t>
        </is>
      </c>
      <c r="K31" s="30" t="inlineStr">
        <is>
          <t>C</t>
        </is>
      </c>
    </row>
    <row r="32">
      <c r="A32" s="28" t="inlineStr">
        <is>
          <t>Contract Modification Requests</t>
        </is>
      </c>
      <c r="B32" s="32" t="inlineStr">
        <is>
          <t>R</t>
        </is>
      </c>
      <c r="C32" s="31" t="inlineStr">
        <is>
          <t>I</t>
        </is>
      </c>
      <c r="D32" s="31" t="inlineStr">
        <is>
          <t>I</t>
        </is>
      </c>
      <c r="E32" s="31" t="inlineStr">
        <is>
          <t>I</t>
        </is>
      </c>
      <c r="F32" s="31" t="inlineStr">
        <is>
          <t>I</t>
        </is>
      </c>
      <c r="G32" s="31" t="inlineStr">
        <is>
          <t>I</t>
        </is>
      </c>
      <c r="H32" s="31" t="inlineStr">
        <is>
          <t>I</t>
        </is>
      </c>
      <c r="I32" s="31" t="inlineStr">
        <is>
          <t>I</t>
        </is>
      </c>
      <c r="J32" s="30" t="inlineStr">
        <is>
          <t>C</t>
        </is>
      </c>
      <c r="K32" s="29" t="inlineStr">
        <is>
          <t>A</t>
        </is>
      </c>
    </row>
    <row r="33">
      <c r="A33" s="28" t="inlineStr">
        <is>
          <t>Stakeholder Communications</t>
        </is>
      </c>
      <c r="B33" s="29" t="inlineStr">
        <is>
          <t>A</t>
        </is>
      </c>
      <c r="C33" s="31" t="inlineStr">
        <is>
          <t>I</t>
        </is>
      </c>
      <c r="D33" s="30" t="inlineStr">
        <is>
          <t>C</t>
        </is>
      </c>
      <c r="E33" s="31" t="inlineStr">
        <is>
          <t>I</t>
        </is>
      </c>
      <c r="F33" s="31" t="inlineStr">
        <is>
          <t>I</t>
        </is>
      </c>
      <c r="G33" s="31" t="inlineStr">
        <is>
          <t>I</t>
        </is>
      </c>
      <c r="H33" s="31" t="inlineStr">
        <is>
          <t>I</t>
        </is>
      </c>
      <c r="I33" s="31" t="inlineStr">
        <is>
          <t>I</t>
        </is>
      </c>
      <c r="J33" s="31" t="inlineStr">
        <is>
          <t>I</t>
        </is>
      </c>
      <c r="K33" s="32" t="inlineStr">
        <is>
          <t>R</t>
        </is>
      </c>
    </row>
    <row r="34">
      <c r="A34" s="28" t="inlineStr">
        <is>
          <t>Surge Scale-Down Planning</t>
        </is>
      </c>
      <c r="B34" s="29" t="inlineStr">
        <is>
          <t>A</t>
        </is>
      </c>
      <c r="C34" s="30" t="inlineStr">
        <is>
          <t>C</t>
        </is>
      </c>
      <c r="D34" s="30" t="inlineStr">
        <is>
          <t>C</t>
        </is>
      </c>
      <c r="E34" s="30" t="inlineStr">
        <is>
          <t>C</t>
        </is>
      </c>
      <c r="F34" s="30" t="inlineStr">
        <is>
          <t>C</t>
        </is>
      </c>
      <c r="G34" s="30" t="inlineStr">
        <is>
          <t>C</t>
        </is>
      </c>
      <c r="H34" s="30" t="inlineStr">
        <is>
          <t>C</t>
        </is>
      </c>
      <c r="I34" s="30" t="inlineStr">
        <is>
          <t>C</t>
        </is>
      </c>
      <c r="J34" s="32" t="inlineStr">
        <is>
          <t>R</t>
        </is>
      </c>
      <c r="K34" s="30" t="inlineStr">
        <is>
          <t>C</t>
        </is>
      </c>
    </row>
    <row r="35">
      <c r="A35" s="28" t="inlineStr">
        <is>
          <t>Knowledge Transfer</t>
        </is>
      </c>
      <c r="B35" s="30" t="inlineStr">
        <is>
          <t>C</t>
        </is>
      </c>
      <c r="C35" s="31" t="inlineStr">
        <is>
          <t>I</t>
        </is>
      </c>
      <c r="D35" s="31" t="inlineStr">
        <is>
          <t>I</t>
        </is>
      </c>
      <c r="E35" s="31" t="inlineStr">
        <is>
          <t>I</t>
        </is>
      </c>
      <c r="F35" s="31" t="inlineStr">
        <is>
          <t>I</t>
        </is>
      </c>
      <c r="G35" s="31" t="inlineStr">
        <is>
          <t>I</t>
        </is>
      </c>
      <c r="H35" s="29" t="inlineStr">
        <is>
          <t>A</t>
        </is>
      </c>
      <c r="I35" s="32" t="inlineStr">
        <is>
          <t>R</t>
        </is>
      </c>
      <c r="J35" s="31" t="inlineStr">
        <is>
          <t>I</t>
        </is>
      </c>
      <c r="K35" s="31" t="inlineStr">
        <is>
          <t>I</t>
        </is>
      </c>
    </row>
    <row r="36">
      <c r="A36" s="28" t="inlineStr">
        <is>
          <t>Data/Equipment Recovery</t>
        </is>
      </c>
      <c r="B36" s="31" t="inlineStr">
        <is>
          <t>I</t>
        </is>
      </c>
      <c r="C36" s="31" t="inlineStr">
        <is>
          <t>I</t>
        </is>
      </c>
      <c r="D36" s="30" t="inlineStr">
        <is>
          <t>C</t>
        </is>
      </c>
      <c r="E36" s="32" t="inlineStr">
        <is>
          <t>R</t>
        </is>
      </c>
      <c r="F36" s="29" t="inlineStr">
        <is>
          <t>A</t>
        </is>
      </c>
      <c r="G36" s="31" t="inlineStr">
        <is>
          <t>I</t>
        </is>
      </c>
      <c r="H36" s="31" t="inlineStr">
        <is>
          <t>I</t>
        </is>
      </c>
      <c r="I36" s="30" t="inlineStr">
        <is>
          <t>C</t>
        </is>
      </c>
      <c r="J36" s="31" t="inlineStr">
        <is>
          <t>I</t>
        </is>
      </c>
      <c r="K36" s="31" t="inlineStr">
        <is>
          <t>I</t>
        </is>
      </c>
    </row>
    <row r="37"/>
    <row r="38">
      <c r="A38" s="33" t="inlineStr">
        <is>
          <t>RACI Legend</t>
        </is>
      </c>
    </row>
    <row r="39">
      <c r="A39" s="34" t="inlineStr">
        <is>
          <t>R = Responsible</t>
        </is>
      </c>
    </row>
    <row r="40">
      <c r="A40" s="35" t="inlineStr">
        <is>
          <t>A = Accountable</t>
        </is>
      </c>
    </row>
    <row r="41">
      <c r="A41" s="36" t="inlineStr">
        <is>
          <t>C = Consulted</t>
        </is>
      </c>
    </row>
    <row r="42">
      <c r="A42" s="37" t="inlineStr">
        <is>
          <t>I = Informed</t>
        </is>
      </c>
    </row>
  </sheetData>
  <dataValidations count="1">
    <dataValidation sqref="B2:K36" showDropDown="0" showInputMessage="0" showErrorMessage="0" allowBlank="1" type="list">
      <formula1>"R,A,C,I"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42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24" customWidth="1" min="9" max="9"/>
    <col width="22" customWidth="1" min="10" max="10"/>
    <col width="28" customWidth="1" min="11" max="11"/>
  </cols>
  <sheetData>
    <row r="1">
      <c r="A1" s="1" t="inlineStr">
        <is>
          <t>Phase</t>
        </is>
      </c>
      <c r="B1" s="1" t="inlineStr">
        <is>
          <t>Task #</t>
        </is>
      </c>
      <c r="C1" s="1" t="inlineStr">
        <is>
          <t>Task Description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Actual Completion 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Verification Method</t>
        </is>
      </c>
      <c r="K1" s="1" t="inlineStr">
        <is>
          <t>Notes</t>
        </is>
      </c>
    </row>
    <row r="2">
      <c r="A2" s="14" t="inlineStr">
        <is>
          <t>Phase 1 - Equip &amp; Verify (Day 0-3)</t>
        </is>
      </c>
      <c r="B2" s="14" t="n">
        <v>1</v>
      </c>
      <c r="C2" s="14" t="inlineStr">
        <is>
          <t>Confirm equipment inventory levels</t>
        </is>
      </c>
      <c r="D2" s="14" t="inlineStr">
        <is>
          <t>IT/Equipment Lead</t>
        </is>
      </c>
      <c r="E2" s="15" t="n">
        <v>46024</v>
      </c>
      <c r="F2" s="15" t="n">
        <v>46024</v>
      </c>
      <c r="G2" s="14" t="inlineStr">
        <is>
          <t>Complete</t>
        </is>
      </c>
      <c r="H2" s="14" t="inlineStr">
        <is>
          <t>Critical</t>
        </is>
      </c>
      <c r="I2" s="14" t="inlineStr">
        <is>
          <t>None</t>
        </is>
      </c>
      <c r="J2" s="14" t="inlineStr">
        <is>
          <t>Inventory count report</t>
        </is>
      </c>
      <c r="K2" s="14" t="inlineStr">
        <is>
          <t>All kits accounted for</t>
        </is>
      </c>
    </row>
    <row r="3">
      <c r="A3" s="14" t="inlineStr">
        <is>
          <t>Phase 1 - Equip &amp; Verify (Day 0-3)</t>
        </is>
      </c>
      <c r="B3" s="14" t="n">
        <v>2</v>
      </c>
      <c r="C3" s="14" t="inlineStr">
        <is>
          <t>Initiate procurement orders for additional kits</t>
        </is>
      </c>
      <c r="D3" s="14" t="inlineStr">
        <is>
          <t>IT/Equipment Lead</t>
        </is>
      </c>
      <c r="E3" s="15" t="n">
        <v>46024</v>
      </c>
      <c r="F3" s="15" t="n">
        <v>46024</v>
      </c>
      <c r="G3" s="14" t="inlineStr">
        <is>
          <t>Complete</t>
        </is>
      </c>
      <c r="H3" s="14" t="inlineStr">
        <is>
          <t>Critical</t>
        </is>
      </c>
      <c r="I3" s="14" t="inlineStr">
        <is>
          <t>Task 1</t>
        </is>
      </c>
      <c r="J3" s="14" t="inlineStr">
        <is>
          <t>Purchase order confirmation</t>
        </is>
      </c>
      <c r="K3" s="14" t="inlineStr">
        <is>
          <t>20 kits ordered</t>
        </is>
      </c>
    </row>
    <row r="4">
      <c r="A4" s="14" t="inlineStr">
        <is>
          <t>Phase 1 - Equip &amp; Verify (Day 0-3)</t>
        </is>
      </c>
      <c r="B4" s="14" t="n">
        <v>3</v>
      </c>
      <c r="C4" s="14" t="inlineStr">
        <is>
          <t>Ship equipment kits with tracking numbers</t>
        </is>
      </c>
      <c r="D4" s="14" t="inlineStr">
        <is>
          <t>IT/Equipment Lead</t>
        </is>
      </c>
      <c r="E4" s="15" t="n">
        <v>46025</v>
      </c>
      <c r="F4" s="15" t="n">
        <v>46025</v>
      </c>
      <c r="G4" s="14" t="inlineStr">
        <is>
          <t>Complete</t>
        </is>
      </c>
      <c r="H4" s="14" t="inlineStr">
        <is>
          <t>Critical</t>
        </is>
      </c>
      <c r="I4" s="14" t="inlineStr">
        <is>
          <t>Task 2</t>
        </is>
      </c>
      <c r="J4" s="14" t="inlineStr">
        <is>
          <t>Shipping confirmation + tracking</t>
        </is>
      </c>
      <c r="K4" s="14" t="inlineStr">
        <is>
          <t>All shipped via FedEx</t>
        </is>
      </c>
    </row>
    <row r="5">
      <c r="A5" s="14" t="inlineStr">
        <is>
          <t>Phase 1 - Equip &amp; Verify (Day 0-3)</t>
        </is>
      </c>
      <c r="B5" s="14" t="n">
        <v>4</v>
      </c>
      <c r="C5" s="14" t="inlineStr">
        <is>
          <t>Verify delivery confirmation for all kits</t>
        </is>
      </c>
      <c r="D5" s="14" t="inlineStr">
        <is>
          <t>IT/Equipment Lead</t>
        </is>
      </c>
      <c r="E5" s="15" t="n">
        <v>46027</v>
      </c>
      <c r="F5" s="15" t="n">
        <v>46027</v>
      </c>
      <c r="G5" s="14" t="inlineStr">
        <is>
          <t>Complete</t>
        </is>
      </c>
      <c r="H5" s="14" t="inlineStr">
        <is>
          <t>High</t>
        </is>
      </c>
      <c r="I5" s="14" t="inlineStr">
        <is>
          <t>Task 3</t>
        </is>
      </c>
      <c r="J5" s="14" t="inlineStr">
        <is>
          <t>Delivery receipt + signature</t>
        </is>
      </c>
      <c r="K5" s="14" t="inlineStr">
        <is>
          <t>18/20 confirmed Day 1</t>
        </is>
      </c>
    </row>
    <row r="6">
      <c r="A6" s="14" t="inlineStr">
        <is>
          <t>Phase 1 - Equip &amp; Verify (Day 0-3)</t>
        </is>
      </c>
      <c r="B6" s="14" t="n">
        <v>5</v>
      </c>
      <c r="C6" s="14" t="inlineStr">
        <is>
          <t>Remote workspace attestation collected</t>
        </is>
      </c>
      <c r="D6" s="14" t="inlineStr">
        <is>
          <t>HR Manager</t>
        </is>
      </c>
      <c r="E6" s="15" t="n">
        <v>46027</v>
      </c>
      <c r="F6" s="15" t="n">
        <v>46027</v>
      </c>
      <c r="G6" s="14" t="inlineStr">
        <is>
          <t>Complete</t>
        </is>
      </c>
      <c r="H6" s="14" t="inlineStr">
        <is>
          <t>High</t>
        </is>
      </c>
      <c r="I6" s="14" t="inlineStr">
        <is>
          <t>Task 4</t>
        </is>
      </c>
      <c r="J6" s="14" t="inlineStr">
        <is>
          <t>Signed attestation form</t>
        </is>
      </c>
      <c r="K6" s="14" t="inlineStr">
        <is>
          <t>All initial hires verified</t>
        </is>
      </c>
    </row>
    <row r="7">
      <c r="A7" s="14" t="inlineStr">
        <is>
          <t>Phase 1 - Equip &amp; Verify (Day 0-3)</t>
        </is>
      </c>
      <c r="B7" s="14" t="n">
        <v>6</v>
      </c>
      <c r="C7" s="14" t="inlineStr">
        <is>
          <t>VPN and endpoint security deployment</t>
        </is>
      </c>
      <c r="D7" s="14" t="inlineStr">
        <is>
          <t>IT/Equipment Lead</t>
        </is>
      </c>
      <c r="E7" s="15" t="n">
        <v>46026</v>
      </c>
      <c r="F7" s="15" t="n">
        <v>46026</v>
      </c>
      <c r="G7" s="14" t="inlineStr">
        <is>
          <t>Complete</t>
        </is>
      </c>
      <c r="H7" s="14" t="inlineStr">
        <is>
          <t>Critical</t>
        </is>
      </c>
      <c r="I7" s="14" t="inlineStr">
        <is>
          <t>Task 4</t>
        </is>
      </c>
      <c r="J7" s="14" t="inlineStr">
        <is>
          <t>VPN connection test log</t>
        </is>
      </c>
      <c r="K7" s="14" t="inlineStr">
        <is>
          <t>All endpoints secured</t>
        </is>
      </c>
    </row>
    <row r="8">
      <c r="A8" s="14" t="inlineStr">
        <is>
          <t>Phase 1 - Equip &amp; Verify (Day 0-3)</t>
        </is>
      </c>
      <c r="B8" s="14" t="n">
        <v>7</v>
      </c>
      <c r="C8" s="14" t="inlineStr">
        <is>
          <t>System access provisioning (all required systems)</t>
        </is>
      </c>
      <c r="D8" s="14" t="inlineStr">
        <is>
          <t>IT/Equipment Lead</t>
        </is>
      </c>
      <c r="E8" s="15" t="n">
        <v>46026</v>
      </c>
      <c r="F8" s="15" t="n">
        <v>46026</v>
      </c>
      <c r="G8" s="14" t="inlineStr">
        <is>
          <t>Complete</t>
        </is>
      </c>
      <c r="H8" s="14" t="inlineStr">
        <is>
          <t>Critical</t>
        </is>
      </c>
      <c r="I8" s="14" t="inlineStr">
        <is>
          <t>Task 6</t>
        </is>
      </c>
      <c r="J8" s="14" t="inlineStr">
        <is>
          <t>Access verification checklist</t>
        </is>
      </c>
      <c r="K8" s="14" t="inlineStr">
        <is>
          <t>AD, VPN, app access confirmed</t>
        </is>
      </c>
    </row>
    <row r="9">
      <c r="A9" s="14" t="inlineStr">
        <is>
          <t>Phase 1 - Equip &amp; Verify (Day 0-3)</t>
        </is>
      </c>
      <c r="B9" s="14" t="n">
        <v>8</v>
      </c>
      <c r="C9" s="14" t="inlineStr">
        <is>
          <t>Pre-Day 1 connectivity test with each employee</t>
        </is>
      </c>
      <c r="D9" s="14" t="inlineStr">
        <is>
          <t>IT/Equipment Lead</t>
        </is>
      </c>
      <c r="E9" s="15" t="n">
        <v>46026</v>
      </c>
      <c r="F9" s="15" t="n">
        <v>46026</v>
      </c>
      <c r="G9" s="14" t="inlineStr">
        <is>
          <t>Complete</t>
        </is>
      </c>
      <c r="H9" s="14" t="inlineStr">
        <is>
          <t>High</t>
        </is>
      </c>
      <c r="I9" s="14" t="inlineStr">
        <is>
          <t>Task 7</t>
        </is>
      </c>
      <c r="J9" s="14" t="inlineStr">
        <is>
          <t>Test call log</t>
        </is>
      </c>
      <c r="K9" s="14" t="inlineStr">
        <is>
          <t>All passed</t>
        </is>
      </c>
    </row>
    <row r="10">
      <c r="A10" s="14" t="inlineStr">
        <is>
          <t>Phase 2 - Onboard &amp; Deploy (Day 1-7)</t>
        </is>
      </c>
      <c r="B10" s="14" t="n">
        <v>9</v>
      </c>
      <c r="C10" s="14" t="inlineStr">
        <is>
          <t>Conduct virtual orientation session</t>
        </is>
      </c>
      <c r="D10" s="14" t="inlineStr">
        <is>
          <t>Training Lead</t>
        </is>
      </c>
      <c r="E10" s="15" t="n">
        <v>46027</v>
      </c>
      <c r="F10" s="15" t="n">
        <v>46027</v>
      </c>
      <c r="G10" s="14" t="inlineStr">
        <is>
          <t>Complete</t>
        </is>
      </c>
      <c r="H10" s="14" t="inlineStr">
        <is>
          <t>Critical</t>
        </is>
      </c>
      <c r="I10" s="14" t="inlineStr">
        <is>
          <t>Task 8</t>
        </is>
      </c>
      <c r="J10" s="14" t="inlineStr">
        <is>
          <t>Attendance roster</t>
        </is>
      </c>
      <c r="K10" s="14" t="inlineStr">
        <is>
          <t>12 attendees batch 1</t>
        </is>
      </c>
    </row>
    <row r="11">
      <c r="A11" s="14" t="inlineStr">
        <is>
          <t>Phase 2 - Onboard &amp; Deploy (Day 1-7)</t>
        </is>
      </c>
      <c r="B11" s="14" t="n">
        <v>10</v>
      </c>
      <c r="C11" s="14" t="inlineStr">
        <is>
          <t>Complete all required training modules</t>
        </is>
      </c>
      <c r="D11" s="14" t="inlineStr">
        <is>
          <t>Training Lead</t>
        </is>
      </c>
      <c r="E11" s="15" t="n">
        <v>46034</v>
      </c>
      <c r="F11" s="15" t="n">
        <v>46034</v>
      </c>
      <c r="G11" s="14" t="inlineStr">
        <is>
          <t>Complete</t>
        </is>
      </c>
      <c r="H11" s="14" t="inlineStr">
        <is>
          <t>Critical</t>
        </is>
      </c>
      <c r="I11" s="14" t="inlineStr">
        <is>
          <t>Task 9</t>
        </is>
      </c>
      <c r="J11" s="14" t="inlineStr">
        <is>
          <t>Training tracker completion</t>
        </is>
      </c>
      <c r="K11" s="14" t="inlineStr">
        <is>
          <t>Batch 1 all complete</t>
        </is>
      </c>
    </row>
    <row r="12">
      <c r="A12" s="14" t="inlineStr">
        <is>
          <t>Phase 2 - Onboard &amp; Deploy (Day 1-7)</t>
        </is>
      </c>
      <c r="B12" s="14" t="n">
        <v>11</v>
      </c>
      <c r="C12" s="14" t="inlineStr">
        <is>
          <t>Issue badges and credentials</t>
        </is>
      </c>
      <c r="D12" s="14" t="inlineStr">
        <is>
          <t>FSO/Security Lead</t>
        </is>
      </c>
      <c r="E12" s="15" t="n">
        <v>46029</v>
      </c>
      <c r="F12" s="15" t="n">
        <v>46029</v>
      </c>
      <c r="G12" s="14" t="inlineStr">
        <is>
          <t>Complete</t>
        </is>
      </c>
      <c r="H12" s="14" t="inlineStr">
        <is>
          <t>High</t>
        </is>
      </c>
      <c r="I12" s="14" t="inlineStr">
        <is>
          <t>Task 9</t>
        </is>
      </c>
      <c r="J12" s="14" t="inlineStr">
        <is>
          <t>Badge issuance log</t>
        </is>
      </c>
      <c r="K12" s="14" t="inlineStr">
        <is>
          <t>CAC/PIV issued</t>
        </is>
      </c>
    </row>
    <row r="13">
      <c r="A13" s="14" t="inlineStr">
        <is>
          <t>Phase 2 - Onboard &amp; Deploy (Day 1-7)</t>
        </is>
      </c>
      <c r="B13" s="14" t="n">
        <v>12</v>
      </c>
      <c r="C13" s="14" t="inlineStr">
        <is>
          <t>Assign each employee to supervisor</t>
        </is>
      </c>
      <c r="D13" s="14" t="inlineStr">
        <is>
          <t>HR Manager</t>
        </is>
      </c>
      <c r="E13" s="15" t="n">
        <v>46027</v>
      </c>
      <c r="F13" s="15" t="n">
        <v>46027</v>
      </c>
      <c r="G13" s="14" t="inlineStr">
        <is>
          <t>Complete</t>
        </is>
      </c>
      <c r="H13" s="14" t="inlineStr">
        <is>
          <t>High</t>
        </is>
      </c>
      <c r="I13" s="14" t="inlineStr">
        <is>
          <t>Task 9</t>
        </is>
      </c>
      <c r="J13" s="14" t="inlineStr">
        <is>
          <t>Org chart update</t>
        </is>
      </c>
      <c r="K13" s="14" t="inlineStr">
        <is>
          <t>All assigned</t>
        </is>
      </c>
    </row>
    <row r="14">
      <c r="A14" s="14" t="inlineStr">
        <is>
          <t>Phase 2 - Onboard &amp; Deploy (Day 1-7)</t>
        </is>
      </c>
      <c r="B14" s="14" t="n">
        <v>13</v>
      </c>
      <c r="C14" s="14" t="inlineStr">
        <is>
          <t>Complete Day One checklist for each employee</t>
        </is>
      </c>
      <c r="D14" s="14" t="inlineStr">
        <is>
          <t>HR Manager</t>
        </is>
      </c>
      <c r="E14" s="15" t="n">
        <v>46027</v>
      </c>
      <c r="F14" s="15" t="n">
        <v>46027</v>
      </c>
      <c r="G14" s="14" t="inlineStr">
        <is>
          <t>Complete</t>
        </is>
      </c>
      <c r="H14" s="14" t="inlineStr">
        <is>
          <t>High</t>
        </is>
      </c>
      <c r="I14" s="14" t="inlineStr">
        <is>
          <t>Task 9</t>
        </is>
      </c>
      <c r="J14" s="14" t="inlineStr">
        <is>
          <t>Signed checklist</t>
        </is>
      </c>
      <c r="K14" s="14" t="inlineStr">
        <is>
          <t>All submitted</t>
        </is>
      </c>
    </row>
    <row r="15">
      <c r="A15" s="14" t="inlineStr">
        <is>
          <t>Phase 2 - Onboard &amp; Deploy (Day 1-7)</t>
        </is>
      </c>
      <c r="B15" s="14" t="n">
        <v>14</v>
      </c>
      <c r="C15" s="14" t="inlineStr">
        <is>
          <t>Introduce to team via virtual standup</t>
        </is>
      </c>
      <c r="D15" s="14" t="inlineStr">
        <is>
          <t>Supervisor</t>
        </is>
      </c>
      <c r="E15" s="15" t="n">
        <v>46028</v>
      </c>
      <c r="F15" s="15" t="n">
        <v>46028</v>
      </c>
      <c r="G15" s="14" t="inlineStr">
        <is>
          <t>Complete</t>
        </is>
      </c>
      <c r="H15" s="14" t="inlineStr">
        <is>
          <t>Medium</t>
        </is>
      </c>
      <c r="I15" s="14" t="inlineStr">
        <is>
          <t>Task 12</t>
        </is>
      </c>
      <c r="J15" s="14" t="inlineStr">
        <is>
          <t>Meeting notes</t>
        </is>
      </c>
      <c r="K15" s="14" t="inlineStr">
        <is>
          <t>All introduced</t>
        </is>
      </c>
    </row>
    <row r="16">
      <c r="A16" s="14" t="inlineStr">
        <is>
          <t>Phase 2 - Onboard &amp; Deploy (Day 1-7)</t>
        </is>
      </c>
      <c r="B16" s="14" t="n">
        <v>15</v>
      </c>
      <c r="C16" s="14" t="inlineStr">
        <is>
          <t>Verify all system access functional</t>
        </is>
      </c>
      <c r="D16" s="14" t="inlineStr">
        <is>
          <t>IT/Equipment Lead</t>
        </is>
      </c>
      <c r="E16" s="15" t="n">
        <v>46029</v>
      </c>
      <c r="F16" s="15" t="n">
        <v>46029</v>
      </c>
      <c r="G16" s="14" t="inlineStr">
        <is>
          <t>Complete</t>
        </is>
      </c>
      <c r="H16" s="14" t="inlineStr">
        <is>
          <t>High</t>
        </is>
      </c>
      <c r="I16" s="14" t="inlineStr">
        <is>
          <t>Task 10</t>
        </is>
      </c>
      <c r="J16" s="14" t="inlineStr">
        <is>
          <t>Access test results</t>
        </is>
      </c>
      <c r="K16" s="14" t="inlineStr">
        <is>
          <t>All systems verified</t>
        </is>
      </c>
    </row>
    <row r="17">
      <c r="A17" s="14" t="inlineStr">
        <is>
          <t>Phase 2 - Onboard &amp; Deploy (Day 1-7)</t>
        </is>
      </c>
      <c r="B17" s="14" t="n">
        <v>16</v>
      </c>
      <c r="C17" s="14" t="inlineStr">
        <is>
          <t>Begin supervised production work</t>
        </is>
      </c>
      <c r="D17" s="14" t="inlineStr">
        <is>
          <t>Supervisor</t>
        </is>
      </c>
      <c r="E17" s="15" t="n">
        <v>46034</v>
      </c>
      <c r="F17" s="15" t="n">
        <v>46034</v>
      </c>
      <c r="G17" s="14" t="inlineStr">
        <is>
          <t>Complete</t>
        </is>
      </c>
      <c r="H17" s="14" t="inlineStr">
        <is>
          <t>Critical</t>
        </is>
      </c>
      <c r="I17" s="14" t="inlineStr">
        <is>
          <t>Task 10, 15</t>
        </is>
      </c>
      <c r="J17" s="14" t="inlineStr">
        <is>
          <t>Production log</t>
        </is>
      </c>
      <c r="K17" s="14" t="inlineStr">
        <is>
          <t>Batch 1 in production</t>
        </is>
      </c>
    </row>
    <row r="18">
      <c r="A18" s="16" t="inlineStr">
        <is>
          <t>Phase 3 - Sustain (Day 7-90)</t>
        </is>
      </c>
      <c r="B18" s="16" t="n">
        <v>17</v>
      </c>
      <c r="C18" s="16" t="inlineStr">
        <is>
          <t>Daily standups (ongoing)</t>
        </is>
      </c>
      <c r="D18" s="16" t="inlineStr">
        <is>
          <t>Supervisor</t>
        </is>
      </c>
      <c r="E18" s="17" t="n">
        <v>46034</v>
      </c>
      <c r="F18" s="17" t="n"/>
      <c r="G18" s="16" t="inlineStr">
        <is>
          <t>In Progress</t>
        </is>
      </c>
      <c r="H18" s="16" t="inlineStr">
        <is>
          <t>High</t>
        </is>
      </c>
      <c r="I18" s="16" t="inlineStr">
        <is>
          <t>Task 16</t>
        </is>
      </c>
      <c r="J18" s="16" t="inlineStr">
        <is>
          <t>Meeting attendance log</t>
        </is>
      </c>
      <c r="K18" s="16" t="inlineStr">
        <is>
          <t>Ongoing daily</t>
        </is>
      </c>
    </row>
    <row r="19">
      <c r="A19" s="16" t="inlineStr">
        <is>
          <t>Phase 3 - Sustain (Day 7-90)</t>
        </is>
      </c>
      <c r="B19" s="16" t="n">
        <v>18</v>
      </c>
      <c r="C19" s="16" t="inlineStr">
        <is>
          <t>Weekly staffing reports</t>
        </is>
      </c>
      <c r="D19" s="16" t="inlineStr">
        <is>
          <t>Program Manager</t>
        </is>
      </c>
      <c r="E19" s="17" t="n">
        <v>46038</v>
      </c>
      <c r="F19" s="17" t="n"/>
      <c r="G19" s="16" t="inlineStr">
        <is>
          <t>In Progress</t>
        </is>
      </c>
      <c r="H19" s="16" t="inlineStr">
        <is>
          <t>High</t>
        </is>
      </c>
      <c r="I19" s="16" t="inlineStr">
        <is>
          <t>Task 17</t>
        </is>
      </c>
      <c r="J19" s="16" t="inlineStr">
        <is>
          <t>Report distribution log</t>
        </is>
      </c>
      <c r="K19" s="16" t="inlineStr">
        <is>
          <t>Weekly on Fridays</t>
        </is>
      </c>
    </row>
    <row r="20">
      <c r="A20" s="16" t="inlineStr">
        <is>
          <t>Phase 3 - Sustain (Day 7-90)</t>
        </is>
      </c>
      <c r="B20" s="16" t="n">
        <v>19</v>
      </c>
      <c r="C20" s="16" t="inlineStr">
        <is>
          <t>Bi-weekly QA evaluations</t>
        </is>
      </c>
      <c r="D20" s="16" t="inlineStr">
        <is>
          <t>QA Lead</t>
        </is>
      </c>
      <c r="E20" s="17" t="n">
        <v>46041</v>
      </c>
      <c r="F20" s="17" t="n"/>
      <c r="G20" s="16" t="inlineStr">
        <is>
          <t>In Progress</t>
        </is>
      </c>
      <c r="H20" s="16" t="inlineStr">
        <is>
          <t>Critical</t>
        </is>
      </c>
      <c r="I20" s="16" t="inlineStr">
        <is>
          <t>Task 16</t>
        </is>
      </c>
      <c r="J20" s="16" t="inlineStr">
        <is>
          <t>QA scorecard</t>
        </is>
      </c>
      <c r="K20" s="16" t="inlineStr">
        <is>
          <t>30 evaluations completed</t>
        </is>
      </c>
    </row>
    <row r="21">
      <c r="A21" s="16" t="inlineStr">
        <is>
          <t>Phase 3 - Sustain (Day 7-90)</t>
        </is>
      </c>
      <c r="B21" s="16" t="n">
        <v>20</v>
      </c>
      <c r="C21" s="16" t="inlineStr">
        <is>
          <t>30-day retention check-ins</t>
        </is>
      </c>
      <c r="D21" s="16" t="inlineStr">
        <is>
          <t>Supervisor</t>
        </is>
      </c>
      <c r="E21" s="17" t="n">
        <v>46057</v>
      </c>
      <c r="F21" s="17" t="n"/>
      <c r="G21" s="16" t="inlineStr">
        <is>
          <t>In Progress</t>
        </is>
      </c>
      <c r="H21" s="16" t="inlineStr">
        <is>
          <t>High</t>
        </is>
      </c>
      <c r="I21" s="16" t="inlineStr">
        <is>
          <t>Task 16</t>
        </is>
      </c>
      <c r="J21" s="16" t="inlineStr">
        <is>
          <t>Check-in form</t>
        </is>
      </c>
      <c r="K21" s="16" t="inlineStr">
        <is>
          <t>16 of 20 completed</t>
        </is>
      </c>
    </row>
    <row r="22">
      <c r="A22" s="16" t="inlineStr">
        <is>
          <t>Phase 3 - Sustain (Day 7-90)</t>
        </is>
      </c>
      <c r="B22" s="16" t="n">
        <v>21</v>
      </c>
      <c r="C22" s="16" t="inlineStr">
        <is>
          <t>60-day retention check-ins</t>
        </is>
      </c>
      <c r="D22" s="16" t="inlineStr">
        <is>
          <t>Supervisor</t>
        </is>
      </c>
      <c r="E22" s="17" t="n">
        <v>46087</v>
      </c>
      <c r="F22" s="17" t="n"/>
      <c r="G22" s="16" t="inlineStr">
        <is>
          <t>In Progress</t>
        </is>
      </c>
      <c r="H22" s="16" t="inlineStr">
        <is>
          <t>High</t>
        </is>
      </c>
      <c r="I22" s="16" t="inlineStr">
        <is>
          <t>Task 20</t>
        </is>
      </c>
      <c r="J22" s="16" t="inlineStr">
        <is>
          <t>Check-in form</t>
        </is>
      </c>
      <c r="K22" s="16" t="inlineStr">
        <is>
          <t>10 of 20 completed</t>
        </is>
      </c>
    </row>
    <row r="23">
      <c r="A23" s="16" t="inlineStr">
        <is>
          <t>Phase 3 - Sustain (Day 7-90)</t>
        </is>
      </c>
      <c r="B23" s="16" t="n">
        <v>22</v>
      </c>
      <c r="C23" s="16" t="inlineStr">
        <is>
          <t>90-day retention check-ins</t>
        </is>
      </c>
      <c r="D23" s="16" t="inlineStr">
        <is>
          <t>Supervisor</t>
        </is>
      </c>
      <c r="E23" s="17" t="n">
        <v>46117</v>
      </c>
      <c r="F23" s="17" t="n"/>
      <c r="G23" s="16" t="inlineStr">
        <is>
          <t>In Progress</t>
        </is>
      </c>
      <c r="H23" s="16" t="inlineStr">
        <is>
          <t>High</t>
        </is>
      </c>
      <c r="I23" s="16" t="inlineStr">
        <is>
          <t>Task 21</t>
        </is>
      </c>
      <c r="J23" s="16" t="inlineStr">
        <is>
          <t>Check-in form</t>
        </is>
      </c>
      <c r="K23" s="16" t="inlineStr">
        <is>
          <t>5 of 20 completed</t>
        </is>
      </c>
    </row>
    <row r="24">
      <c r="A24" s="16" t="inlineStr">
        <is>
          <t>Phase 3 - Sustain (Day 7-90)</t>
        </is>
      </c>
      <c r="B24" s="16" t="n">
        <v>23</v>
      </c>
      <c r="C24" s="16" t="inlineStr">
        <is>
          <t>Monthly risk register reviews</t>
        </is>
      </c>
      <c r="D24" s="16" t="inlineStr">
        <is>
          <t>Program Manager</t>
        </is>
      </c>
      <c r="E24" s="17" t="n">
        <v>46054</v>
      </c>
      <c r="F24" s="17" t="n"/>
      <c r="G24" s="16" t="inlineStr">
        <is>
          <t>In Progress</t>
        </is>
      </c>
      <c r="H24" s="16" t="inlineStr">
        <is>
          <t>High</t>
        </is>
      </c>
      <c r="I24" s="16" t="inlineStr">
        <is>
          <t>Task 18</t>
        </is>
      </c>
      <c r="J24" s="16" t="inlineStr">
        <is>
          <t>Meeting minutes</t>
        </is>
      </c>
      <c r="K24" s="16" t="inlineStr">
        <is>
          <t>3 reviews completed</t>
        </is>
      </c>
    </row>
    <row r="25">
      <c r="A25" s="16" t="inlineStr">
        <is>
          <t>Phase 3 - Sustain (Day 7-90)</t>
        </is>
      </c>
      <c r="B25" s="16" t="n">
        <v>24</v>
      </c>
      <c r="C25" s="16" t="inlineStr">
        <is>
          <t>Monthly compliance audits</t>
        </is>
      </c>
      <c r="D25" s="16" t="inlineStr">
        <is>
          <t>Contracting Officer</t>
        </is>
      </c>
      <c r="E25" s="17" t="n">
        <v>46054</v>
      </c>
      <c r="F25" s="17" t="n"/>
      <c r="G25" s="16" t="inlineStr">
        <is>
          <t>In Progress</t>
        </is>
      </c>
      <c r="H25" s="16" t="inlineStr">
        <is>
          <t>Critical</t>
        </is>
      </c>
      <c r="I25" s="16" t="inlineStr">
        <is>
          <t>Task 23</t>
        </is>
      </c>
      <c r="J25" s="16" t="inlineStr">
        <is>
          <t>Audit report</t>
        </is>
      </c>
      <c r="K25" s="16" t="inlineStr">
        <is>
          <t>Q1 audit complete</t>
        </is>
      </c>
    </row>
    <row r="26">
      <c r="A26" s="16" t="inlineStr">
        <is>
          <t>Phase 3 - Sustain (Day 7-90)</t>
        </is>
      </c>
      <c r="B26" s="16" t="n">
        <v>25</v>
      </c>
      <c r="C26" s="16" t="inlineStr">
        <is>
          <t>Ongoing training refreshers</t>
        </is>
      </c>
      <c r="D26" s="16" t="inlineStr">
        <is>
          <t>Training Lead</t>
        </is>
      </c>
      <c r="E26" s="17" t="n">
        <v>46058</v>
      </c>
      <c r="F26" s="17" t="n"/>
      <c r="G26" s="16" t="inlineStr">
        <is>
          <t>In Progress</t>
        </is>
      </c>
      <c r="H26" s="16" t="inlineStr">
        <is>
          <t>Medium</t>
        </is>
      </c>
      <c r="I26" s="16" t="inlineStr">
        <is>
          <t>Task 10</t>
        </is>
      </c>
      <c r="J26" s="16" t="inlineStr">
        <is>
          <t>Training log</t>
        </is>
      </c>
      <c r="K26" s="16" t="inlineStr">
        <is>
          <t>Security refresher scheduled</t>
        </is>
      </c>
    </row>
    <row r="27">
      <c r="A27" s="16" t="inlineStr">
        <is>
          <t>Phase 3 - Sustain (Day 7-90)</t>
        </is>
      </c>
      <c r="B27" s="16" t="n">
        <v>26</v>
      </c>
      <c r="C27" s="16" t="inlineStr">
        <is>
          <t>Performance management reviews</t>
        </is>
      </c>
      <c r="D27" s="16" t="inlineStr">
        <is>
          <t>Supervisor</t>
        </is>
      </c>
      <c r="E27" s="17" t="n">
        <v>46065</v>
      </c>
      <c r="F27" s="17" t="n"/>
      <c r="G27" s="16" t="inlineStr">
        <is>
          <t>In Progress</t>
        </is>
      </c>
      <c r="H27" s="16" t="inlineStr">
        <is>
          <t>High</t>
        </is>
      </c>
      <c r="I27" s="16" t="inlineStr">
        <is>
          <t>Task 19</t>
        </is>
      </c>
      <c r="J27" s="16" t="inlineStr">
        <is>
          <t>Performance review form</t>
        </is>
      </c>
      <c r="K27" s="16" t="inlineStr">
        <is>
          <t>Q1 reviews in progress</t>
        </is>
      </c>
    </row>
    <row r="28">
      <c r="A28" s="2" t="inlineStr">
        <is>
          <t>Phase 4 - Close-Out</t>
        </is>
      </c>
      <c r="B28" s="2" t="n">
        <v>27</v>
      </c>
      <c r="C28" s="2" t="inlineStr">
        <is>
          <t>Initiate after-action data collection</t>
        </is>
      </c>
      <c r="D28" s="2" t="inlineStr">
        <is>
          <t>Program Manager</t>
        </is>
      </c>
      <c r="E28" s="10" t="n">
        <v>46174</v>
      </c>
      <c r="F28" s="10" t="n"/>
      <c r="G28" s="2" t="inlineStr">
        <is>
          <t>Not Started</t>
        </is>
      </c>
      <c r="H28" s="2" t="inlineStr">
        <is>
          <t>High</t>
        </is>
      </c>
      <c r="I28" s="2" t="inlineStr">
        <is>
          <t>Phase 3 complete</t>
        </is>
      </c>
      <c r="J28" s="2" t="inlineStr">
        <is>
          <t>Data collection template</t>
        </is>
      </c>
      <c r="K28" s="2" t="inlineStr"/>
    </row>
    <row r="29">
      <c r="A29" s="4" t="inlineStr">
        <is>
          <t>Phase 4 - Close-Out</t>
        </is>
      </c>
      <c r="B29" s="4" t="n">
        <v>28</v>
      </c>
      <c r="C29" s="4" t="inlineStr">
        <is>
          <t>Conduct AAR sessions with all stakeholders</t>
        </is>
      </c>
      <c r="D29" s="4" t="inlineStr">
        <is>
          <t>Program Manager</t>
        </is>
      </c>
      <c r="E29" s="11" t="n">
        <v>46181</v>
      </c>
      <c r="F29" s="11" t="n"/>
      <c r="G29" s="4" t="inlineStr">
        <is>
          <t>Not Started</t>
        </is>
      </c>
      <c r="H29" s="4" t="inlineStr">
        <is>
          <t>High</t>
        </is>
      </c>
      <c r="I29" s="4" t="inlineStr">
        <is>
          <t>Task 27</t>
        </is>
      </c>
      <c r="J29" s="4" t="inlineStr">
        <is>
          <t>AAR agenda + notes</t>
        </is>
      </c>
      <c r="K29" s="4" t="inlineStr"/>
    </row>
    <row r="30">
      <c r="A30" s="2" t="inlineStr">
        <is>
          <t>Phase 4 - Close-Out</t>
        </is>
      </c>
      <c r="B30" s="2" t="n">
        <v>29</v>
      </c>
      <c r="C30" s="2" t="inlineStr">
        <is>
          <t>Compile lessons learned document</t>
        </is>
      </c>
      <c r="D30" s="2" t="inlineStr">
        <is>
          <t>Program Manager</t>
        </is>
      </c>
      <c r="E30" s="10" t="n">
        <v>46188</v>
      </c>
      <c r="F30" s="10" t="n"/>
      <c r="G30" s="2" t="inlineStr">
        <is>
          <t>Not Started</t>
        </is>
      </c>
      <c r="H30" s="2" t="inlineStr">
        <is>
          <t>Medium</t>
        </is>
      </c>
      <c r="I30" s="2" t="inlineStr">
        <is>
          <t>Task 28</t>
        </is>
      </c>
      <c r="J30" s="2" t="inlineStr">
        <is>
          <t>Lessons learned report</t>
        </is>
      </c>
      <c r="K30" s="2" t="inlineStr"/>
    </row>
    <row r="31">
      <c r="A31" s="4" t="inlineStr">
        <is>
          <t>Phase 4 - Close-Out</t>
        </is>
      </c>
      <c r="B31" s="4" t="n">
        <v>30</v>
      </c>
      <c r="C31" s="4" t="inlineStr">
        <is>
          <t>Equipment recovery from all employees</t>
        </is>
      </c>
      <c r="D31" s="4" t="inlineStr">
        <is>
          <t>IT/Equipment Lead</t>
        </is>
      </c>
      <c r="E31" s="11" t="n">
        <v>46188</v>
      </c>
      <c r="F31" s="11" t="n"/>
      <c r="G31" s="4" t="inlineStr">
        <is>
          <t>Not Started</t>
        </is>
      </c>
      <c r="H31" s="4" t="inlineStr">
        <is>
          <t>Critical</t>
        </is>
      </c>
      <c r="I31" s="4" t="inlineStr">
        <is>
          <t>Task 27</t>
        </is>
      </c>
      <c r="J31" s="4" t="inlineStr">
        <is>
          <t>Equipment return log</t>
        </is>
      </c>
      <c r="K31" s="4" t="inlineStr"/>
    </row>
    <row r="32">
      <c r="A32" s="2" t="inlineStr">
        <is>
          <t>Phase 4 - Close-Out</t>
        </is>
      </c>
      <c r="B32" s="2" t="n">
        <v>31</v>
      </c>
      <c r="C32" s="2" t="inlineStr">
        <is>
          <t>Access revocation for all separated employees</t>
        </is>
      </c>
      <c r="D32" s="2" t="inlineStr">
        <is>
          <t>IT/Equipment Lead</t>
        </is>
      </c>
      <c r="E32" s="10" t="n">
        <v>46188</v>
      </c>
      <c r="F32" s="10" t="n"/>
      <c r="G32" s="2" t="inlineStr">
        <is>
          <t>Not Started</t>
        </is>
      </c>
      <c r="H32" s="2" t="inlineStr">
        <is>
          <t>Critical</t>
        </is>
      </c>
      <c r="I32" s="2" t="inlineStr">
        <is>
          <t>Task 30</t>
        </is>
      </c>
      <c r="J32" s="2" t="inlineStr">
        <is>
          <t>Access revocation checklist</t>
        </is>
      </c>
      <c r="K32" s="2" t="inlineStr"/>
    </row>
    <row r="33">
      <c r="A33" s="4" t="inlineStr">
        <is>
          <t>Phase 4 - Close-Out</t>
        </is>
      </c>
      <c r="B33" s="4" t="n">
        <v>32</v>
      </c>
      <c r="C33" s="4" t="inlineStr">
        <is>
          <t>Final staffing report</t>
        </is>
      </c>
      <c r="D33" s="4" t="inlineStr">
        <is>
          <t>Program Manager</t>
        </is>
      </c>
      <c r="E33" s="11" t="n">
        <v>46195</v>
      </c>
      <c r="F33" s="11" t="n"/>
      <c r="G33" s="4" t="inlineStr">
        <is>
          <t>Not Started</t>
        </is>
      </c>
      <c r="H33" s="4" t="inlineStr">
        <is>
          <t>High</t>
        </is>
      </c>
      <c r="I33" s="4" t="inlineStr">
        <is>
          <t>Task 28</t>
        </is>
      </c>
      <c r="J33" s="4" t="inlineStr">
        <is>
          <t>Final report</t>
        </is>
      </c>
      <c r="K33" s="4" t="inlineStr"/>
    </row>
    <row r="34">
      <c r="A34" s="2" t="inlineStr">
        <is>
          <t>Phase 4 - Close-Out</t>
        </is>
      </c>
      <c r="B34" s="2" t="n">
        <v>33</v>
      </c>
      <c r="C34" s="2" t="inlineStr">
        <is>
          <t>Archive all documentation per records retention</t>
        </is>
      </c>
      <c r="D34" s="2" t="inlineStr">
        <is>
          <t>HR Manager</t>
        </is>
      </c>
      <c r="E34" s="10" t="n">
        <v>46203</v>
      </c>
      <c r="F34" s="10" t="n"/>
      <c r="G34" s="2" t="inlineStr">
        <is>
          <t>Not Started</t>
        </is>
      </c>
      <c r="H34" s="2" t="inlineStr">
        <is>
          <t>Medium</t>
        </is>
      </c>
      <c r="I34" s="2" t="inlineStr">
        <is>
          <t>Task 32</t>
        </is>
      </c>
      <c r="J34" s="2" t="inlineStr">
        <is>
          <t>Archive confirmation</t>
        </is>
      </c>
      <c r="K34" s="2" t="inlineStr"/>
    </row>
    <row r="35">
      <c r="A35" s="16" t="inlineStr">
        <is>
          <t>Phase 3 - Sustain (Day 7-90)</t>
        </is>
      </c>
      <c r="B35" s="16" t="n">
        <v>34</v>
      </c>
      <c r="C35" s="16" t="inlineStr">
        <is>
          <t>IT help desk SLA monitoring</t>
        </is>
      </c>
      <c r="D35" s="16" t="inlineStr">
        <is>
          <t>IT/Equipment Lead</t>
        </is>
      </c>
      <c r="E35" s="17" t="n">
        <v>46041</v>
      </c>
      <c r="F35" s="17" t="n"/>
      <c r="G35" s="16" t="inlineStr">
        <is>
          <t>In Progress</t>
        </is>
      </c>
      <c r="H35" s="16" t="inlineStr">
        <is>
          <t>Medium</t>
        </is>
      </c>
      <c r="I35" s="16" t="inlineStr">
        <is>
          <t>Task 15</t>
        </is>
      </c>
      <c r="J35" s="16" t="inlineStr">
        <is>
          <t>SLA report</t>
        </is>
      </c>
      <c r="K35" s="16" t="inlineStr">
        <is>
          <t>Tracking response times</t>
        </is>
      </c>
    </row>
    <row r="36">
      <c r="A36" s="16" t="inlineStr">
        <is>
          <t>Phase 3 - Sustain (Day 7-90)</t>
        </is>
      </c>
      <c r="B36" s="16" t="n">
        <v>35</v>
      </c>
      <c r="C36" s="16" t="inlineStr">
        <is>
          <t>Employee engagement pulse surveys</t>
        </is>
      </c>
      <c r="D36" s="16" t="inlineStr">
        <is>
          <t>HR Manager</t>
        </is>
      </c>
      <c r="E36" s="17" t="n">
        <v>46082</v>
      </c>
      <c r="F36" s="17" t="n"/>
      <c r="G36" s="16" t="inlineStr">
        <is>
          <t>In Progress</t>
        </is>
      </c>
      <c r="H36" s="16" t="inlineStr">
        <is>
          <t>Medium</t>
        </is>
      </c>
      <c r="I36" s="16" t="inlineStr">
        <is>
          <t>Task 20</t>
        </is>
      </c>
      <c r="J36" s="16" t="inlineStr">
        <is>
          <t>Survey results</t>
        </is>
      </c>
      <c r="K36" s="16" t="inlineStr">
        <is>
          <t>Q1 survey completed</t>
        </is>
      </c>
    </row>
    <row r="37">
      <c r="A37" s="16" t="inlineStr">
        <is>
          <t>Phase 3 - Sustain (Day 7-90)</t>
        </is>
      </c>
      <c r="B37" s="16" t="n">
        <v>36</v>
      </c>
      <c r="C37" s="16" t="inlineStr">
        <is>
          <t>Clearance status tracking and follow-up</t>
        </is>
      </c>
      <c r="D37" s="16" t="inlineStr">
        <is>
          <t>FSO/Security Lead</t>
        </is>
      </c>
      <c r="E37" s="17" t="n">
        <v>46037</v>
      </c>
      <c r="F37" s="17" t="n"/>
      <c r="G37" s="16" t="inlineStr">
        <is>
          <t>In Progress</t>
        </is>
      </c>
      <c r="H37" s="16" t="inlineStr">
        <is>
          <t>Critical</t>
        </is>
      </c>
      <c r="I37" s="16" t="inlineStr">
        <is>
          <t>Task 11</t>
        </is>
      </c>
      <c r="J37" s="16" t="inlineStr">
        <is>
          <t>Clearance tracker</t>
        </is>
      </c>
      <c r="K37" s="16" t="inlineStr">
        <is>
          <t>5 pending adjudication</t>
        </is>
      </c>
    </row>
  </sheetData>
  <dataValidations count="2">
    <dataValidation sqref="G2:G100" showDropDown="0" showInputMessage="0" showErrorMessage="0" allowBlank="1" type="list">
      <formula1>"Not Started,In Progress,Complete,Blocked"</formula1>
    </dataValidation>
    <dataValidation sqref="H2:H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52" customWidth="1" min="5" max="5"/>
    <col width="16" customWidth="1" min="6" max="6"/>
    <col width="14" customWidth="1" min="7" max="7"/>
    <col width="18" customWidth="1" min="8" max="8"/>
    <col width="12" customWidth="1" min="9" max="9"/>
    <col width="12" customWidth="1" min="10" max="10"/>
    <col width="14" customWidth="1" min="11" max="11"/>
    <col width="36" customWidth="1" min="12" max="12"/>
  </cols>
  <sheetData>
    <row r="1">
      <c r="A1" s="1" t="inlineStr">
        <is>
          <t>Alert ID</t>
        </is>
      </c>
      <c r="B1" s="1" t="inlineStr">
        <is>
          <t>Alert Date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Related Employee ID</t>
        </is>
      </c>
      <c r="G1" s="1" t="inlineStr">
        <is>
          <t>Related Risk ID</t>
        </is>
      </c>
      <c r="H1" s="1" t="inlineStr">
        <is>
          <t>Owner</t>
        </is>
      </c>
      <c r="I1" s="1" t="inlineStr">
        <is>
          <t>Due Date</t>
        </is>
      </c>
      <c r="J1" s="1" t="inlineStr">
        <is>
          <t>Status</t>
        </is>
      </c>
      <c r="K1" s="1" t="inlineStr">
        <is>
          <t>Resolution Date</t>
        </is>
      </c>
      <c r="L1" s="1" t="inlineStr">
        <is>
          <t>Resolution Notes</t>
        </is>
      </c>
    </row>
    <row r="2">
      <c r="A2" s="16" t="inlineStr">
        <is>
          <t>ALT-001</t>
        </is>
      </c>
      <c r="B2" s="17" t="n">
        <v>46093</v>
      </c>
      <c r="C2" s="16" t="inlineStr">
        <is>
          <t>Training</t>
        </is>
      </c>
      <c r="D2" s="16" t="inlineStr">
        <is>
          <t>High</t>
        </is>
      </c>
      <c r="E2" s="16" t="inlineStr">
        <is>
          <t>Overdue training modules - Andrew Nguyen has 3 overdue modules (Security Awareness, Privacy Act, Remote Work Policy)</t>
        </is>
      </c>
      <c r="F2" s="16" t="inlineStr">
        <is>
          <t>EMP-012</t>
        </is>
      </c>
      <c r="G2" s="16" t="inlineStr">
        <is>
          <t>RSK-009</t>
        </is>
      </c>
      <c r="H2" s="16" t="inlineStr">
        <is>
          <t>Training Lead</t>
        </is>
      </c>
      <c r="I2" s="17" t="n">
        <v>46100</v>
      </c>
      <c r="J2" s="16" t="inlineStr">
        <is>
          <t>Open</t>
        </is>
      </c>
      <c r="K2" s="17" t="n"/>
      <c r="L2" s="16" t="inlineStr"/>
    </row>
    <row r="3">
      <c r="A3" s="18" t="inlineStr">
        <is>
          <t>ALT-002</t>
        </is>
      </c>
      <c r="B3" s="19" t="n">
        <v>46073</v>
      </c>
      <c r="C3" s="18" t="inlineStr">
        <is>
          <t>QA</t>
        </is>
      </c>
      <c r="D3" s="18" t="inlineStr">
        <is>
          <t>Critical</t>
        </is>
      </c>
      <c r="E3" s="18" t="inlineStr">
        <is>
          <t>QA score below contract minimum - Kevin Washington overall score 45 (Failing)</t>
        </is>
      </c>
      <c r="F3" s="18" t="inlineStr">
        <is>
          <t>EMP-014</t>
        </is>
      </c>
      <c r="G3" s="18" t="inlineStr">
        <is>
          <t>RSK-005</t>
        </is>
      </c>
      <c r="H3" s="18" t="inlineStr">
        <is>
          <t>QA Lead</t>
        </is>
      </c>
      <c r="I3" s="19" t="n">
        <v>46080</v>
      </c>
      <c r="J3" s="18" t="inlineStr">
        <is>
          <t>Resolved</t>
        </is>
      </c>
      <c r="K3" s="19" t="n">
        <v>46073</v>
      </c>
      <c r="L3" s="18" t="inlineStr">
        <is>
          <t>Employee terminated for performance</t>
        </is>
      </c>
    </row>
    <row r="4">
      <c r="A4" s="16" t="inlineStr">
        <is>
          <t>ALT-003</t>
        </is>
      </c>
      <c r="B4" s="17" t="n">
        <v>46071</v>
      </c>
      <c r="C4" s="16" t="inlineStr">
        <is>
          <t>QA</t>
        </is>
      </c>
      <c r="D4" s="16" t="inlineStr">
        <is>
          <t>High</t>
        </is>
      </c>
      <c r="E4" s="16" t="inlineStr">
        <is>
          <t>QA score below contract minimum - Rachel Cooper overall score 60 (Below)</t>
        </is>
      </c>
      <c r="F4" s="16" t="inlineStr">
        <is>
          <t>EMP-013</t>
        </is>
      </c>
      <c r="G4" s="16" t="inlineStr">
        <is>
          <t>RSK-005</t>
        </is>
      </c>
      <c r="H4" s="16" t="inlineStr">
        <is>
          <t>QA Lead</t>
        </is>
      </c>
      <c r="I4" s="17" t="n">
        <v>46078</v>
      </c>
      <c r="J4" s="16" t="inlineStr">
        <is>
          <t>Resolved</t>
        </is>
      </c>
      <c r="K4" s="17" t="n">
        <v>46096</v>
      </c>
      <c r="L4" s="16" t="inlineStr">
        <is>
          <t>PIP initiated; employee resigned</t>
        </is>
      </c>
    </row>
    <row r="5">
      <c r="A5" s="16" t="inlineStr">
        <is>
          <t>ALT-004</t>
        </is>
      </c>
      <c r="B5" s="17" t="n">
        <v>46120</v>
      </c>
      <c r="C5" s="16" t="inlineStr">
        <is>
          <t>Retention</t>
        </is>
      </c>
      <c r="D5" s="16" t="inlineStr">
        <is>
          <t>High</t>
        </is>
      </c>
      <c r="E5" s="16" t="inlineStr">
        <is>
          <t>Missed 30-day retention check-in - Andrew Nguyen check-in overdue</t>
        </is>
      </c>
      <c r="F5" s="16" t="inlineStr">
        <is>
          <t>EMP-012</t>
        </is>
      </c>
      <c r="G5" s="16" t="n"/>
      <c r="H5" s="16" t="inlineStr">
        <is>
          <t>Supervisor</t>
        </is>
      </c>
      <c r="I5" s="17" t="n">
        <v>46127</v>
      </c>
      <c r="J5" s="16" t="inlineStr">
        <is>
          <t>Open</t>
        </is>
      </c>
      <c r="K5" s="17" t="n"/>
      <c r="L5" s="16" t="inlineStr">
        <is>
          <t>Escalated to supervisor</t>
        </is>
      </c>
    </row>
    <row r="6">
      <c r="A6" s="18" t="inlineStr">
        <is>
          <t>ALT-005</t>
        </is>
      </c>
      <c r="B6" s="19" t="n">
        <v>46122</v>
      </c>
      <c r="C6" s="18" t="inlineStr">
        <is>
          <t>Risk</t>
        </is>
      </c>
      <c r="D6" s="18" t="inlineStr">
        <is>
          <t>Critical</t>
        </is>
      </c>
      <c r="E6" s="18" t="inlineStr">
        <is>
          <t>Risk score increased - Clearance processing backlogs (RSK-003) trend increasing, score 20 (Critical)</t>
        </is>
      </c>
      <c r="F6" s="18" t="n"/>
      <c r="G6" s="18" t="inlineStr">
        <is>
          <t>RSK-003</t>
        </is>
      </c>
      <c r="H6" s="18" t="inlineStr">
        <is>
          <t>FSO/Security Lead</t>
        </is>
      </c>
      <c r="I6" s="19" t="n">
        <v>46129</v>
      </c>
      <c r="J6" s="18" t="inlineStr">
        <is>
          <t>Open</t>
        </is>
      </c>
      <c r="K6" s="19" t="n"/>
      <c r="L6" s="18" t="inlineStr">
        <is>
          <t>DCSA liaison meeting scheduled</t>
        </is>
      </c>
    </row>
    <row r="7">
      <c r="A7" s="16" t="inlineStr">
        <is>
          <t>ALT-006</t>
        </is>
      </c>
      <c r="B7" s="17" t="n">
        <v>46118</v>
      </c>
      <c r="C7" s="16" t="inlineStr">
        <is>
          <t>Equipment</t>
        </is>
      </c>
      <c r="D7" s="16" t="inlineStr">
        <is>
          <t>High</t>
        </is>
      </c>
      <c r="E7" s="16" t="inlineStr">
        <is>
          <t>Equipment not received within 5 business days - Amanda Taylor kit shipped 3/30, not confirmed received</t>
        </is>
      </c>
      <c r="F7" s="16" t="inlineStr">
        <is>
          <t>EMP-019</t>
        </is>
      </c>
      <c r="G7" s="16" t="inlineStr">
        <is>
          <t>RSK-002</t>
        </is>
      </c>
      <c r="H7" s="16" t="inlineStr">
        <is>
          <t>IT/Equipment Lead</t>
        </is>
      </c>
      <c r="I7" s="17" t="n">
        <v>46120</v>
      </c>
      <c r="J7" s="16" t="inlineStr">
        <is>
          <t>Open</t>
        </is>
      </c>
      <c r="K7" s="17" t="n"/>
      <c r="L7" s="16" t="inlineStr">
        <is>
          <t>Tracking shows in transit</t>
        </is>
      </c>
    </row>
    <row r="8">
      <c r="A8" s="18" t="inlineStr">
        <is>
          <t>ALT-007</t>
        </is>
      </c>
      <c r="B8" s="19" t="n">
        <v>46119</v>
      </c>
      <c r="C8" s="18" t="inlineStr">
        <is>
          <t>Training</t>
        </is>
      </c>
      <c r="D8" s="18" t="inlineStr">
        <is>
          <t>Critical</t>
        </is>
      </c>
      <c r="E8" s="18" t="inlineStr">
        <is>
          <t>Overdue training - Amanda Taylor Company Orientation, Supervisor Introduction, First Day Checklist all overdue</t>
        </is>
      </c>
      <c r="F8" s="18" t="inlineStr">
        <is>
          <t>EMP-019</t>
        </is>
      </c>
      <c r="G8" s="18" t="inlineStr">
        <is>
          <t>RSK-009</t>
        </is>
      </c>
      <c r="H8" s="18" t="inlineStr">
        <is>
          <t>Training Lead</t>
        </is>
      </c>
      <c r="I8" s="19" t="n">
        <v>46122</v>
      </c>
      <c r="J8" s="18" t="inlineStr">
        <is>
          <t>Open</t>
        </is>
      </c>
      <c r="K8" s="19" t="n"/>
      <c r="L8" s="18" t="inlineStr">
        <is>
          <t>Blocked by equipment delivery</t>
        </is>
      </c>
    </row>
    <row r="9">
      <c r="A9" s="18" t="inlineStr">
        <is>
          <t>ALT-008</t>
        </is>
      </c>
      <c r="B9" s="19" t="n">
        <v>46113</v>
      </c>
      <c r="C9" s="18" t="inlineStr">
        <is>
          <t>Retention</t>
        </is>
      </c>
      <c r="D9" s="18" t="inlineStr">
        <is>
          <t>Critical</t>
        </is>
      </c>
      <c r="E9" s="18" t="inlineStr">
        <is>
          <t>Employee attrition risk HIGH - James Patel flagged for workspace issues and low engagement</t>
        </is>
      </c>
      <c r="F9" s="18" t="inlineStr">
        <is>
          <t>EMP-010</t>
        </is>
      </c>
      <c r="G9" s="18" t="n"/>
      <c r="H9" s="18" t="inlineStr">
        <is>
          <t>Supervisor</t>
        </is>
      </c>
      <c r="I9" s="19" t="n">
        <v>46120</v>
      </c>
      <c r="J9" s="18" t="inlineStr">
        <is>
          <t>In Progress</t>
        </is>
      </c>
      <c r="K9" s="19" t="n"/>
      <c r="L9" s="18" t="inlineStr">
        <is>
          <t>Workspace verification expedited</t>
        </is>
      </c>
    </row>
    <row r="10">
      <c r="A10" s="16" t="inlineStr">
        <is>
          <t>ALT-009</t>
        </is>
      </c>
      <c r="B10" s="17" t="n">
        <v>46101</v>
      </c>
      <c r="C10" s="16" t="inlineStr">
        <is>
          <t>Staffing</t>
        </is>
      </c>
      <c r="D10" s="16" t="inlineStr">
        <is>
          <t>High</t>
        </is>
      </c>
      <c r="E10" s="16" t="inlineStr">
        <is>
          <t>Staffing fill rate below 85% - Customer Service Rep fill rate at 67% (8/12 authorized)</t>
        </is>
      </c>
      <c r="F10" s="16" t="inlineStr"/>
      <c r="G10" s="16" t="inlineStr">
        <is>
          <t>RSK-004</t>
        </is>
      </c>
      <c r="H10" s="16" t="inlineStr">
        <is>
          <t>Recruiting Lead</t>
        </is>
      </c>
      <c r="I10" s="17" t="n">
        <v>46108</v>
      </c>
      <c r="J10" s="16" t="inlineStr">
        <is>
          <t>In Progress</t>
        </is>
      </c>
      <c r="K10" s="17" t="n"/>
      <c r="L10" s="16" t="inlineStr">
        <is>
          <t>2 candidates in pipeline</t>
        </is>
      </c>
    </row>
    <row r="11">
      <c r="A11" s="25" t="inlineStr">
        <is>
          <t>ALT-010</t>
        </is>
      </c>
      <c r="B11" s="26" t="n">
        <v>46127</v>
      </c>
      <c r="C11" s="25" t="inlineStr">
        <is>
          <t>Compliance</t>
        </is>
      </c>
      <c r="D11" s="25" t="inlineStr">
        <is>
          <t>Medium</t>
        </is>
      </c>
      <c r="E11" s="25" t="inlineStr">
        <is>
          <t>Monthly compliance audit due - April audit not yet scheduled</t>
        </is>
      </c>
      <c r="F11" s="25" t="n"/>
      <c r="G11" s="25" t="inlineStr">
        <is>
          <t>RSK-006</t>
        </is>
      </c>
      <c r="H11" s="25" t="inlineStr">
        <is>
          <t>Contracting Officer</t>
        </is>
      </c>
      <c r="I11" s="26" t="n">
        <v>46142</v>
      </c>
      <c r="J11" s="25" t="inlineStr">
        <is>
          <t>Open</t>
        </is>
      </c>
      <c r="K11" s="26" t="n"/>
      <c r="L11" s="25" t="inlineStr"/>
    </row>
    <row r="12">
      <c r="A12" s="16" t="inlineStr">
        <is>
          <t>ALT-011</t>
        </is>
      </c>
      <c r="B12" s="17" t="n">
        <v>46113</v>
      </c>
      <c r="C12" s="16" t="inlineStr">
        <is>
          <t>Retention</t>
        </is>
      </c>
      <c r="D12" s="16" t="inlineStr">
        <is>
          <t>High</t>
        </is>
      </c>
      <c r="E12" s="16" t="inlineStr">
        <is>
          <t>Employee attrition risk HIGH - Amanda Taylor equipment delays impacting onboarding</t>
        </is>
      </c>
      <c r="F12" s="16" t="inlineStr">
        <is>
          <t>EMP-019</t>
        </is>
      </c>
      <c r="G12" s="16" t="inlineStr">
        <is>
          <t>RSK-002</t>
        </is>
      </c>
      <c r="H12" s="16" t="inlineStr">
        <is>
          <t>HR Manager</t>
        </is>
      </c>
      <c r="I12" s="17" t="n">
        <v>46120</v>
      </c>
      <c r="J12" s="16" t="inlineStr">
        <is>
          <t>Open</t>
        </is>
      </c>
      <c r="K12" s="17" t="n"/>
      <c r="L12" s="16" t="inlineStr">
        <is>
          <t>Daily status updates requested</t>
        </is>
      </c>
    </row>
    <row r="13">
      <c r="A13" s="25" t="inlineStr">
        <is>
          <t>ALT-012</t>
        </is>
      </c>
      <c r="B13" s="26" t="n">
        <v>46111</v>
      </c>
      <c r="C13" s="25" t="inlineStr">
        <is>
          <t>QA</t>
        </is>
      </c>
      <c r="D13" s="25" t="inlineStr">
        <is>
          <t>Medium</t>
        </is>
      </c>
      <c r="E13" s="25" t="inlineStr">
        <is>
          <t>QA coaching follow-up due - Timothy Foster coaching from 4/1 needs follow-up evaluation</t>
        </is>
      </c>
      <c r="F13" s="25" t="inlineStr">
        <is>
          <t>EMP-016</t>
        </is>
      </c>
      <c r="G13" s="25" t="inlineStr">
        <is>
          <t>RSK-005</t>
        </is>
      </c>
      <c r="H13" s="25" t="inlineStr">
        <is>
          <t>QA Lead</t>
        </is>
      </c>
      <c r="I13" s="26" t="n">
        <v>46126</v>
      </c>
      <c r="J13" s="25" t="inlineStr">
        <is>
          <t>Resolved</t>
        </is>
      </c>
      <c r="K13" s="26" t="n">
        <v>46125</v>
      </c>
      <c r="L13" s="25" t="inlineStr">
        <is>
          <t>Follow-up eval shows improvement</t>
        </is>
      </c>
    </row>
    <row r="14">
      <c r="A14" s="25" t="inlineStr">
        <is>
          <t>ALT-013</t>
        </is>
      </c>
      <c r="B14" s="26" t="n">
        <v>46124</v>
      </c>
      <c r="C14" s="25" t="inlineStr">
        <is>
          <t>Checklist</t>
        </is>
      </c>
      <c r="D14" s="25" t="inlineStr">
        <is>
          <t>Medium</t>
        </is>
      </c>
      <c r="E14" s="25" t="inlineStr">
        <is>
          <t>Checklist task overdue - 90-day retention check-ins behind schedule (5 of 20 completed)</t>
        </is>
      </c>
      <c r="F14" s="25" t="inlineStr"/>
      <c r="G14" s="25" t="n"/>
      <c r="H14" s="25" t="inlineStr">
        <is>
          <t>Supervisor</t>
        </is>
      </c>
      <c r="I14" s="26" t="n">
        <v>46131</v>
      </c>
      <c r="J14" s="25" t="inlineStr">
        <is>
          <t>In Progress</t>
        </is>
      </c>
      <c r="K14" s="26" t="n"/>
      <c r="L14" s="25" t="inlineStr">
        <is>
          <t>Scheduling remaining check-ins</t>
        </is>
      </c>
    </row>
    <row r="15">
      <c r="A15" s="16" t="inlineStr">
        <is>
          <t>ALT-014</t>
        </is>
      </c>
      <c r="B15" s="17" t="n">
        <v>46122</v>
      </c>
      <c r="C15" s="16" t="inlineStr">
        <is>
          <t>Risk</t>
        </is>
      </c>
      <c r="D15" s="16" t="inlineStr">
        <is>
          <t>High</t>
        </is>
      </c>
      <c r="E15" s="16" t="inlineStr">
        <is>
          <t>Risk trend increasing - Employee burnout/disengagement (RSK-015) showing upward trend</t>
        </is>
      </c>
      <c r="F15" s="16" t="n"/>
      <c r="G15" s="16" t="inlineStr">
        <is>
          <t>RSK-015</t>
        </is>
      </c>
      <c r="H15" s="16" t="inlineStr">
        <is>
          <t>HR Manager</t>
        </is>
      </c>
      <c r="I15" s="17" t="n">
        <v>46129</v>
      </c>
      <c r="J15" s="16" t="inlineStr">
        <is>
          <t>Open</t>
        </is>
      </c>
      <c r="K15" s="17" t="n"/>
      <c r="L15" s="16" t="inlineStr">
        <is>
          <t>Pulse survey results concerning</t>
        </is>
      </c>
    </row>
    <row r="16">
      <c r="A16" s="38" t="inlineStr">
        <is>
          <t>ALT-015</t>
        </is>
      </c>
      <c r="B16" s="39" t="n">
        <v>46120</v>
      </c>
      <c r="C16" s="38" t="inlineStr">
        <is>
          <t>Retention</t>
        </is>
      </c>
      <c r="D16" s="38" t="inlineStr">
        <is>
          <t>Low</t>
        </is>
      </c>
      <c r="E16" s="38" t="inlineStr">
        <is>
          <t>Retention check-in reminder - Nicole Jackson 90-day check-in due 5/17 (currently on FMLA)</t>
        </is>
      </c>
      <c r="F16" s="38" t="inlineStr">
        <is>
          <t>EMP-017</t>
        </is>
      </c>
      <c r="G16" s="38" t="n"/>
      <c r="H16" s="38" t="inlineStr">
        <is>
          <t>Supervisor</t>
        </is>
      </c>
      <c r="I16" s="39" t="n">
        <v>46159</v>
      </c>
      <c r="J16" s="38" t="inlineStr">
        <is>
          <t>Open</t>
        </is>
      </c>
      <c r="K16" s="39" t="n"/>
      <c r="L16" s="38" t="inlineStr">
        <is>
          <t>Will schedule upon return from leave</t>
        </is>
      </c>
    </row>
    <row r="17"/>
    <row r="18">
      <c r="A18" s="33" t="inlineStr">
        <is>
          <t>Auto-Flag Conditions</t>
        </is>
      </c>
    </row>
    <row r="19">
      <c r="A19" s="40" t="inlineStr">
        <is>
          <t xml:space="preserve">  1. Overdue training modules (Training Tracker Status = Overdue)</t>
        </is>
      </c>
    </row>
    <row r="20">
      <c r="A20" s="40" t="inlineStr">
        <is>
          <t xml:space="preserve">  2. QA scores below contract minimum (Overall Score &lt; 70)</t>
        </is>
      </c>
    </row>
    <row r="21">
      <c r="A21" s="40" t="inlineStr">
        <is>
          <t xml:space="preserve">  3. Missed retention check-ins (Check-In Completed = No past due date)</t>
        </is>
      </c>
    </row>
    <row r="22">
      <c r="A22" s="40" t="inlineStr">
        <is>
          <t xml:space="preserve">  4. Risk scores increased (Risk Register Trend = Increasing)</t>
        </is>
      </c>
    </row>
    <row r="23">
      <c r="A23" s="40" t="inlineStr">
        <is>
          <t xml:space="preserve">  5. Equipment not received within 5 business days of shipping</t>
        </is>
      </c>
    </row>
    <row r="24">
      <c r="A24" s="40" t="inlineStr">
        <is>
          <t xml:space="preserve">  6. Checklist tasks overdue (Operations Checklist Status != Complete past Target Date)</t>
        </is>
      </c>
    </row>
    <row r="25">
      <c r="A25" s="40" t="inlineStr">
        <is>
          <t xml:space="preserve">  7. Employee attrition risk = High (Retention Tracker)</t>
        </is>
      </c>
    </row>
    <row r="26">
      <c r="A26" s="40" t="inlineStr">
        <is>
          <t xml:space="preserve">  8. Staffing fill rate below 85% (Staffing Dashboard)</t>
        </is>
      </c>
    </row>
  </sheetData>
  <dataValidations count="3">
    <dataValidation sqref="C2:C100" showDropDown="0" showInputMessage="0" showErrorMessage="0" allowBlank="1" type="list">
      <formula1>"Staffing,Training,QA,Retention,Risk,Equipment,Compliance,Checklist"</formula1>
    </dataValidation>
    <dataValidation sqref="D2:D100" showDropDown="0" showInputMessage="0" showErrorMessage="0" allowBlank="1" type="list">
      <formula1>"Critical,High,Medium,Low"</formula1>
    </dataValidation>
    <dataValidation sqref="J2:J100" showDropDown="0" showInputMessage="0" showErrorMessage="0" allowBlank="1" type="list">
      <formula1>"Open,In Progress,Resolved,Escalated"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2026-04-20T22:30:02Z</dcterms:created>
  <dcterms:modified xmlns:dcterms="http://purl.org/dc/terms/" xmlns:xsi="http://www.w3.org/2001/XMLSchema-instance" xsi:type="dcterms:W3CDTF">2026-04-20T22:36:51Z</dcterms:modified>
</cp:coreProperties>
</file>
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Dashboard" sheetId="1" state="visible" r:id="rId1"/>
    <sheet xmlns:r="http://schemas.openxmlformats.org/officeDocument/2006/relationships" name="Surge Checklist" sheetId="2" state="visible" r:id="rId2"/>
    <sheet xmlns:r="http://schemas.openxmlformats.org/officeDocument/2006/relationships" name="Candidate Pipeline" sheetId="3" state="visible" r:id="rId3"/>
    <sheet xmlns:r="http://schemas.openxmlformats.org/officeDocument/2006/relationships" name="Interview Scorecard" sheetId="4" state="visible" r:id="rId4"/>
    <sheet xmlns:r="http://schemas.openxmlformats.org/officeDocument/2006/relationships" name="E-QIP Tracker" sheetId="5" state="visible" r:id="rId5"/>
    <sheet xmlns:r="http://schemas.openxmlformats.org/officeDocument/2006/relationships" name="Employee Roster" sheetId="6" state="visible" r:id="rId6"/>
    <sheet xmlns:r="http://schemas.openxmlformats.org/officeDocument/2006/relationships" name="Staffing Dashboard" sheetId="7" state="visible" r:id="rId7"/>
    <sheet xmlns:r="http://schemas.openxmlformats.org/officeDocument/2006/relationships" name="Retention Tracker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RACI Matrix" sheetId="10" state="visible" r:id="rId10"/>
    <sheet xmlns:r="http://schemas.openxmlformats.org/officeDocument/2006/relationships" name="QA Monitoring" sheetId="11" state="visible" r:id="rId11"/>
    <sheet xmlns:r="http://schemas.openxmlformats.org/officeDocument/2006/relationships" name="Compliance Checklist" sheetId="12" state="visible" r:id="rId12"/>
    <sheet xmlns:r="http://schemas.openxmlformats.org/officeDocument/2006/relationships" name="Alert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1B3A5C"/>
    </font>
    <font>
      <b val="1"/>
      <color rgb="00FFFFFF"/>
      <sz val="18"/>
    </font>
    <font>
      <i val="1"/>
      <color rgb="00FFFFFF"/>
      <sz val="10"/>
    </font>
    <font>
      <b val="1"/>
      <color rgb="002E5E8E"/>
      <sz val="9"/>
    </font>
    <font>
      <b val="1"/>
      <color rgb="001B3A5C"/>
      <sz val="22"/>
    </font>
    <font>
      <color rgb="00666666"/>
      <sz val="8"/>
    </font>
    <font>
      <b val="1"/>
      <color rgb="00FFFFFF"/>
      <sz val="10"/>
    </font>
    <font>
      <sz val="10"/>
    </font>
    <font>
      <b val="1"/>
    </font>
    <font>
      <b val="1"/>
      <sz val="9"/>
    </font>
    <font>
      <b val="1"/>
      <sz val="10"/>
    </font>
    <font>
      <color rgb="00006100"/>
    </font>
    <font>
      <color rgb="009C0006"/>
    </font>
    <font>
      <color rgb="009C5700"/>
    </font>
    <font>
      <b val="1"/>
      <sz val="14"/>
    </font>
    <font>
      <color rgb="007B3F00"/>
    </font>
    <font>
      <color rgb="00595959"/>
    </font>
    <font>
      <color rgb="00002060"/>
    </font>
    <font>
      <color rgb="00808080"/>
    </font>
    <font>
      <color rgb="00C65911"/>
    </font>
  </fonts>
  <fills count="20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5E8E"/>
        <bgColor rgb="002E5E8E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DD7EE"/>
        <bgColor rgb="00BDD7EE"/>
      </patternFill>
    </fill>
    <fill>
      <patternFill patternType="solid">
        <fgColor rgb="00ED7D31"/>
        <bgColor rgb="00ED7D31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EB9C"/>
        <bgColor rgb="00FFEB9C"/>
      </patternFill>
    </fill>
    <fill>
      <patternFill patternType="solid">
        <fgColor rgb="009C5700"/>
        <bgColor rgb="009C5700"/>
      </patternFill>
    </fill>
    <fill>
      <patternFill patternType="solid">
        <fgColor rgb="00EAF0F7"/>
        <bgColor rgb="00EAF0F7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D9D9D9"/>
        <bgColor rgb="00D9D9D9"/>
      </patternFill>
    </fill>
    <fill>
      <patternFill patternType="solid">
        <fgColor rgb="00E0E0E0"/>
        <bgColor rgb="00E0E0E0"/>
      </patternFill>
    </fill>
    <fill>
      <patternFill patternType="solid">
        <fgColor rgb="00FCE4D6"/>
        <bgColor rgb="00FCE4D6"/>
      </patternFill>
    </fill>
  </fills>
  <borders count="3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2E5E8E"/>
      </left>
      <right/>
      <top style="medium">
        <color rgb="002E5E8E"/>
      </top>
      <bottom/>
    </border>
    <border>
      <left/>
      <right style="medium">
        <color rgb="002E5E8E"/>
      </right>
      <top style="medium">
        <color rgb="002E5E8E"/>
      </top>
      <bottom/>
    </border>
    <border>
      <left style="medium">
        <color rgb="002E5E8E"/>
      </left>
      <right/>
      <top/>
      <bottom/>
    </border>
    <border>
      <left/>
      <right style="medium">
        <color rgb="002E5E8E"/>
      </right>
      <top/>
      <bottom/>
    </border>
    <border>
      <left style="medium">
        <color rgb="002E5E8E"/>
      </left>
      <right/>
      <top/>
      <bottom style="medium">
        <color rgb="002E5E8E"/>
      </bottom>
    </border>
    <border>
      <left/>
      <right style="medium">
        <color rgb="002E5E8E"/>
      </right>
      <top/>
      <bottom style="medium">
        <color rgb="002E5E8E"/>
      </bottom>
    </border>
    <border>
      <left style="medium">
        <color rgb="002E5E8E"/>
      </left>
      <right style="medium">
        <color rgb="002E5E8E"/>
      </right>
      <top/>
      <bottom/>
    </border>
    <border>
      <left/>
      <right style="medium">
        <color rgb="002E5E8E"/>
      </right>
      <top/>
      <bottom/>
      <diagonal/>
    </border>
    <border>
      <left style="medium">
        <color rgb="002E5E8E"/>
      </left>
      <right style="medium">
        <color rgb="002E5E8E"/>
      </right>
      <top/>
      <bottom style="medium">
        <color rgb="002E5E8E"/>
      </bottom>
    </border>
    <border>
      <left/>
      <right style="medium">
        <color rgb="002E5E8E"/>
      </right>
      <top/>
      <bottom style="medium">
        <color rgb="002E5E8E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2E5E8E"/>
      </left>
      <right style="medium">
        <color rgb="002E5E8E"/>
      </right>
      <top style="medium">
        <color rgb="002E5E8E"/>
      </top>
      <bottom/>
    </border>
    <border>
      <left/>
      <right/>
      <top style="medium">
        <color rgb="002E5E8E"/>
      </top>
      <bottom/>
      <diagonal/>
    </border>
    <border>
      <left/>
      <right style="medium">
        <color rgb="002E5E8E"/>
      </right>
      <top style="medium">
        <color rgb="002E5E8E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2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0" fillId="4" borderId="5" pivotButton="0" quotePrefix="0" xfId="0"/>
    <xf numFmtId="0" fontId="0" fillId="4" borderId="1" pivotButton="0" quotePrefix="0" xfId="0"/>
    <xf numFmtId="0" fontId="0" fillId="4" borderId="1" applyAlignment="1" pivotButton="0" quotePrefix="0" xfId="0">
      <alignment wrapText="1"/>
    </xf>
    <xf numFmtId="164" fontId="0" fillId="4" borderId="1" pivotButton="0" quotePrefix="0" xfId="0"/>
    <xf numFmtId="0" fontId="0" fillId="4" borderId="6" pivotButton="0" quotePrefix="0" xfId="0"/>
    <xf numFmtId="0" fontId="0" fillId="5" borderId="5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  <xf numFmtId="164" fontId="0" fillId="5" borderId="1" pivotButton="0" quotePrefix="0" xfId="0"/>
    <xf numFmtId="0" fontId="0" fillId="5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8" applyAlignment="1" pivotButton="0" quotePrefix="0" xfId="0">
      <alignment wrapText="1"/>
    </xf>
    <xf numFmtId="164" fontId="0" fillId="4" borderId="8" pivotButton="0" quotePrefix="0" xfId="0"/>
    <xf numFmtId="0" fontId="0" fillId="4" borderId="9" pivotButton="0" quotePrefix="0" xfId="0"/>
    <xf numFmtId="165" fontId="0" fillId="4" borderId="1" pivotButton="0" quotePrefix="0" xfId="0"/>
    <xf numFmtId="165" fontId="0" fillId="5" borderId="1" pivotButton="0" quotePrefix="0" xfId="0"/>
    <xf numFmtId="0" fontId="0" fillId="5" borderId="7" pivotButton="0" quotePrefix="0" xfId="0"/>
    <xf numFmtId="0" fontId="0" fillId="5" borderId="8" pivotButton="0" quotePrefix="0" xfId="0"/>
    <xf numFmtId="164" fontId="0" fillId="5" borderId="8" pivotButton="0" quotePrefix="0" xfId="0"/>
    <xf numFmtId="165" fontId="0" fillId="5" borderId="8" pivotButton="0" quotePrefix="0" xfId="0"/>
    <xf numFmtId="0" fontId="0" fillId="5" borderId="9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4" borderId="8" pivotButton="0" quotePrefix="0" xfId="0"/>
    <xf numFmtId="165" fontId="0" fillId="4" borderId="1" pivotButton="0" quotePrefix="0" xfId="0"/>
    <xf numFmtId="165" fontId="0" fillId="5" borderId="1" pivotButton="0" quotePrefix="0" xfId="0"/>
    <xf numFmtId="164" fontId="0" fillId="5" borderId="8" pivotButton="0" quotePrefix="0" xfId="0"/>
    <xf numFmtId="165" fontId="0" fillId="5" borderId="8" pivotButton="0" quotePrefix="0" xfId="0"/>
    <xf numFmtId="1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166" fontId="0" fillId="4" borderId="8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66" fontId="0" fillId="4" borderId="8" applyAlignment="1" pivotButton="0" quotePrefix="0" xfId="0">
      <alignment horizontal="center"/>
    </xf>
    <xf numFmtId="1" fontId="0" fillId="4" borderId="1" pivotButton="0" quotePrefix="0" xfId="0"/>
    <xf numFmtId="1" fontId="0" fillId="5" borderId="1" pivotButton="0" quotePrefix="0" xfId="0"/>
    <xf numFmtId="1" fontId="0" fillId="5" borderId="8" pivotButton="0" quotePrefix="0" xfId="0"/>
    <xf numFmtId="0" fontId="0" fillId="5" borderId="8" applyAlignment="1" pivotButton="0" quotePrefix="0" xfId="0">
      <alignment wrapText="1"/>
    </xf>
    <xf numFmtId="0" fontId="0" fillId="5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7" borderId="6" applyAlignment="1" pivotButton="0" quotePrefix="0" xfId="0">
      <alignment horizontal="center"/>
    </xf>
    <xf numFmtId="0" fontId="3" fillId="8" borderId="6" applyAlignment="1" pivotButton="0" quotePrefix="0" xfId="0">
      <alignment horizontal="center"/>
    </xf>
    <xf numFmtId="0" fontId="2" fillId="6" borderId="6" applyAlignment="1" pivotButton="0" quotePrefix="0" xfId="0">
      <alignment horizontal="center"/>
    </xf>
    <xf numFmtId="0" fontId="3" fillId="8" borderId="8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9" borderId="9" applyAlignment="1" pivotButton="0" quotePrefix="0" xfId="0">
      <alignment horizontal="center"/>
    </xf>
    <xf numFmtId="0" fontId="0" fillId="4" borderId="6" applyAlignment="1" pivotButton="0" quotePrefix="0" xfId="0">
      <alignment wrapText="1"/>
    </xf>
    <xf numFmtId="0" fontId="0" fillId="5" borderId="6" applyAlignment="1" pivotButton="0" quotePrefix="0" xfId="0">
      <alignment wrapText="1"/>
    </xf>
    <xf numFmtId="0" fontId="0" fillId="4" borderId="9" applyAlignment="1" pivotButton="0" quotePrefix="0" xfId="0">
      <alignment wrapText="1"/>
    </xf>
    <xf numFmtId="0" fontId="2" fillId="11" borderId="5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6" pivotButton="0" quotePrefix="0" xfId="0"/>
    <xf numFmtId="0" fontId="2" fillId="13" borderId="5" applyAlignment="1" pivotButton="0" quotePrefix="0" xfId="0">
      <alignment horizontal="center"/>
    </xf>
    <xf numFmtId="0" fontId="0" fillId="12" borderId="1" pivotButton="0" quotePrefix="0" xfId="0"/>
    <xf numFmtId="0" fontId="0" fillId="12" borderId="1" applyAlignment="1" pivotButton="0" quotePrefix="0" xfId="0">
      <alignment wrapText="1"/>
    </xf>
    <xf numFmtId="0" fontId="0" fillId="12" borderId="6" pivotButton="0" quotePrefix="0" xfId="0"/>
    <xf numFmtId="0" fontId="2" fillId="3" borderId="5" applyAlignment="1" pivotButton="0" quotePrefix="0" xfId="0">
      <alignment horizontal="center"/>
    </xf>
    <xf numFmtId="0" fontId="2" fillId="13" borderId="7" applyAlignment="1" pivotButton="0" quotePrefix="0" xfId="0">
      <alignment horizontal="center"/>
    </xf>
    <xf numFmtId="0" fontId="0" fillId="12" borderId="8" pivotButton="0" quotePrefix="0" xfId="0"/>
    <xf numFmtId="0" fontId="0" fillId="12" borderId="8" applyAlignment="1" pivotButton="0" quotePrefix="0" xfId="0">
      <alignment wrapText="1"/>
    </xf>
    <xf numFmtId="0" fontId="0" fillId="12" borderId="9" pivotButton="0" quotePrefix="0" xfId="0"/>
    <xf numFmtId="0" fontId="0" fillId="5" borderId="9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14" borderId="10" applyAlignment="1" pivotButton="0" quotePrefix="0" xfId="0">
      <alignment horizontal="center"/>
    </xf>
    <xf numFmtId="0" fontId="6" fillId="14" borderId="11" applyAlignment="1" pivotButton="0" quotePrefix="0" xfId="0">
      <alignment horizontal="center"/>
    </xf>
    <xf numFmtId="0" fontId="7" fillId="14" borderId="16" applyAlignment="1" pivotButton="0" quotePrefix="0" xfId="0">
      <alignment horizontal="center"/>
    </xf>
    <xf numFmtId="0" fontId="7" fillId="14" borderId="17" applyAlignment="1" pivotButton="0" quotePrefix="0" xfId="0">
      <alignment horizontal="center"/>
    </xf>
    <xf numFmtId="0" fontId="8" fillId="14" borderId="18" applyAlignment="1" pivotButton="0" quotePrefix="0" xfId="0">
      <alignment horizontal="center"/>
    </xf>
    <xf numFmtId="0" fontId="8" fillId="14" borderId="19" applyAlignment="1" pivotButton="0" quotePrefix="0" xfId="0">
      <alignment horizontal="center"/>
    </xf>
    <xf numFmtId="166" fontId="7" fillId="14" borderId="16" applyAlignment="1" pivotButton="0" quotePrefix="0" xfId="0">
      <alignment horizontal="center"/>
    </xf>
    <xf numFmtId="166" fontId="7" fillId="14" borderId="17" applyAlignment="1" pivotButton="0" quotePrefix="0" xfId="0">
      <alignment horizontal="center"/>
    </xf>
    <xf numFmtId="167" fontId="7" fillId="14" borderId="16" applyAlignment="1" pivotButton="0" quotePrefix="0" xfId="0">
      <alignment horizontal="center"/>
    </xf>
    <xf numFmtId="167" fontId="7" fillId="14" borderId="17" applyAlignment="1" pivotButton="0" quotePrefix="0" xfId="0">
      <alignment horizontal="center"/>
    </xf>
    <xf numFmtId="9" fontId="7" fillId="14" borderId="16" applyAlignment="1" pivotButton="0" quotePrefix="0" xfId="0">
      <alignment horizontal="center"/>
    </xf>
    <xf numFmtId="9" fontId="7" fillId="14" borderId="17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0" fillId="0" borderId="1" pivotButton="0" quotePrefix="0" xfId="0"/>
    <xf numFmtId="0" fontId="11" fillId="0" borderId="1" pivotButton="0" quotePrefix="0" xfId="0"/>
    <xf numFmtId="0" fontId="10" fillId="0" borderId="1" pivotButton="0" quotePrefix="0" xfId="0"/>
    <xf numFmtId="0" fontId="12" fillId="4" borderId="1" pivotButton="0" quotePrefix="0" xfId="0"/>
    <xf numFmtId="0" fontId="13" fillId="0" borderId="1" pivotButton="0" quotePrefix="0" xfId="0"/>
    <xf numFmtId="0" fontId="6" fillId="14" borderId="23" applyAlignment="1" pivotButton="0" quotePrefix="0" xfId="0">
      <alignment horizontal="center"/>
    </xf>
    <xf numFmtId="0" fontId="0" fillId="0" borderId="2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6" pivotButton="0" quotePrefix="0" xfId="0"/>
    <xf numFmtId="0" fontId="9" fillId="3" borderId="2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5" pivotButton="0" quotePrefix="0" xfId="0"/>
    <xf numFmtId="0" fontId="0" fillId="0" borderId="6" pivotButton="0" quotePrefix="0" xfId="0"/>
    <xf numFmtId="0" fontId="11" fillId="4" borderId="5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4" borderId="6" applyAlignment="1" pivotButton="0" quotePrefix="0" xfId="0">
      <alignment horizontal="center"/>
    </xf>
    <xf numFmtId="0" fontId="0" fillId="0" borderId="5" pivotButton="0" quotePrefix="0" xfId="0"/>
    <xf numFmtId="0" fontId="11" fillId="0" borderId="7" pivotButton="0" quotePrefix="0" xfId="0"/>
    <xf numFmtId="0" fontId="0" fillId="0" borderId="9" pivotButton="0" quotePrefix="0" xfId="0"/>
    <xf numFmtId="0" fontId="11" fillId="4" borderId="7" pivotButton="0" quotePrefix="0" xfId="0"/>
    <xf numFmtId="0" fontId="11" fillId="4" borderId="9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6" pivotButton="0" quotePrefix="0" xfId="0"/>
    <xf numFmtId="9" fontId="0" fillId="0" borderId="9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15" borderId="1" pivotButton="0" quotePrefix="0" xfId="0"/>
    <xf numFmtId="0" fontId="3" fillId="8" borderId="1" pivotButton="0" quotePrefix="0" xfId="0"/>
    <xf numFmtId="0" fontId="15" fillId="10" borderId="1" pivotButton="0" quotePrefix="0" xfId="0"/>
    <xf numFmtId="0" fontId="16" fillId="12" borderId="1" pivotButton="0" quotePrefix="0" xfId="0"/>
    <xf numFmtId="0" fontId="3" fillId="8" borderId="8" pivotButton="0" quotePrefix="0" xfId="0"/>
    <xf numFmtId="0" fontId="14" fillId="15" borderId="8" pivotButton="0" quotePrefix="0" xfId="0"/>
    <xf numFmtId="0" fontId="16" fillId="12" borderId="8" pivotButton="0" quotePrefix="0" xfId="0"/>
    <xf numFmtId="0" fontId="2" fillId="2" borderId="4" applyAlignment="1" pivotButton="0" quotePrefix="0" xfId="0">
      <alignment horizontal="center"/>
    </xf>
    <xf numFmtId="166" fontId="17" fillId="4" borderId="6" pivotButton="0" quotePrefix="0" xfId="0"/>
    <xf numFmtId="0" fontId="2" fillId="2" borderId="6" applyAlignment="1" pivotButton="0" quotePrefix="0" xfId="0">
      <alignment horizontal="center"/>
    </xf>
    <xf numFmtId="9" fontId="17" fillId="4" borderId="6" pivotButton="0" quotePrefix="0" xfId="0"/>
    <xf numFmtId="0" fontId="18" fillId="16" borderId="1" pivotButton="0" quotePrefix="0" xfId="0"/>
    <xf numFmtId="0" fontId="19" fillId="17" borderId="1" pivotButton="0" quotePrefix="0" xfId="0"/>
    <xf numFmtId="0" fontId="19" fillId="17" borderId="8" pivotButton="0" quotePrefix="0" xfId="0"/>
    <xf numFmtId="1" fontId="0" fillId="4" borderId="6" pivotButton="0" quotePrefix="0" xfId="0"/>
    <xf numFmtId="1" fontId="0" fillId="5" borderId="6" pivotButton="0" quotePrefix="0" xfId="0"/>
    <xf numFmtId="0" fontId="22" fillId="19" borderId="1" pivotButton="0" quotePrefix="0" xfId="0"/>
    <xf numFmtId="0" fontId="21" fillId="18" borderId="1" pivotButton="0" quotePrefix="0" xfId="0"/>
    <xf numFmtId="0" fontId="21" fillId="18" borderId="8" pivotButton="0" quotePrefix="0" xfId="0"/>
    <xf numFmtId="1" fontId="0" fillId="4" borderId="9" pivotButton="0" quotePrefix="0" xfId="0"/>
    <xf numFmtId="0" fontId="20" fillId="8" borderId="1" pivotButton="0" quotePrefix="0" xfId="0"/>
    <xf numFmtId="0" fontId="15" fillId="10" borderId="8" pivotButton="0" quotePrefix="0" xfId="0"/>
    <xf numFmtId="0" fontId="15" fillId="10" borderId="1" applyAlignment="1" pivotButton="0" quotePrefix="0" xfId="0">
      <alignment horizontal="center"/>
    </xf>
    <xf numFmtId="0" fontId="16" fillId="12" borderId="1" applyAlignment="1" pivotButton="0" quotePrefix="0" xfId="0">
      <alignment horizontal="center"/>
    </xf>
    <xf numFmtId="0" fontId="14" fillId="15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16" fillId="12" borderId="6" applyAlignment="1" pivotButton="0" quotePrefix="0" xfId="0">
      <alignment horizontal="center"/>
    </xf>
    <xf numFmtId="0" fontId="14" fillId="15" borderId="6" applyAlignment="1" pivotButton="0" quotePrefix="0" xfId="0">
      <alignment horizontal="center"/>
    </xf>
    <xf numFmtId="0" fontId="15" fillId="10" borderId="6" applyAlignment="1" pivotButton="0" quotePrefix="0" xfId="0">
      <alignment horizontal="center"/>
    </xf>
    <xf numFmtId="0" fontId="14" fillId="15" borderId="8" applyAlignment="1" pivotButton="0" quotePrefix="0" xfId="0">
      <alignment horizontal="center"/>
    </xf>
    <xf numFmtId="0" fontId="15" fillId="10" borderId="8" applyAlignment="1" pivotButton="0" quotePrefix="0" xfId="0">
      <alignment horizontal="center"/>
    </xf>
    <xf numFmtId="0" fontId="16" fillId="12" borderId="8" applyAlignment="1" pivotButton="0" quotePrefix="0" xfId="0">
      <alignment horizontal="center"/>
    </xf>
    <xf numFmtId="0" fontId="20" fillId="8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Headcount Ramp-Up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'Command Dashboard'!B20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 Dashboard'!$A$21:$A$24</f>
            </numRef>
          </cat>
          <val>
            <numRef>
              <f>'Command Dashboard'!$B$21:$B$24</f>
            </numRef>
          </val>
        </ser>
        <ser>
          <idx val="1"/>
          <order val="1"/>
          <tx>
            <strRef>
              <f>'Command Dashboard'!C20</f>
            </strRef>
          </tx>
          <spPr>
            <a:solidFill xmlns:a="http://schemas.openxmlformats.org/drawingml/2006/main">
              <a:srgbClr val="FF6B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 Dashboard'!$A$21:$A$24</f>
            </numRef>
          </cat>
          <val>
            <numRef>
              <f>'Command Dashboard'!$C$21:$C$24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Week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Headcount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Pipeline Funnel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Dashboard'!B14</f>
            </strRef>
          </tx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'Command Dashboard'!$A$15:$A$19</f>
            </numRef>
          </cat>
          <val>
            <numRef>
              <f>'Command Dashboard'!$B$15:$B$19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Candidates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Clearance Status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'Command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'Command Dashboard'!$D$15:$D$18</f>
            </numRef>
          </cat>
          <val>
            <numRef>
              <f>'Command Dashboard'!$E$15:$E$18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Risk Heat Map (by Level)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Dashboard'!H14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'Command Dashboard'!$G$15:$G$18</f>
            </numRef>
          </cat>
          <val>
            <numRef>
              <f>'Command Dashboard'!$H$15:$H$18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QA Score Distribution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Dashboard'!K14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'Command Dashboard'!$J$15:$J$18</f>
            </numRef>
          </cat>
          <val>
            <numRef>
              <f>'Command Dashboard'!$K$15:$K$18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Employees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Ramp Plan vs Actual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'Staffing Dashboard'!K4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'Staffing Dashboard'!$J$5:$J$9</f>
            </numRef>
          </cat>
          <val>
            <numRef>
              <f>'Staffing Dashboard'!$K$5:$K$9</f>
            </numRef>
          </val>
        </ser>
        <ser>
          <idx val="1"/>
          <order val="1"/>
          <tx>
            <strRef>
              <f>'Staffing Dashboard'!L4</f>
            </strRef>
          </tx>
          <spPr>
            <a:solidFill xmlns:a="http://schemas.openxmlformats.org/drawingml/2006/main">
              <a:srgbClr val="FF6B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'Staffing Dashboard'!$J$5:$J$9</f>
            </numRef>
          </cat>
          <val>
            <numRef>
              <f>'Staffing Dashboard'!$L$5:$L$9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Period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Headcount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Headcount by Team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'Staffing Dashboard'!E3</f>
            </strRef>
          </tx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'Staffing Dashboard'!$D$4:$D$11</f>
            </numRef>
          </cat>
          <val>
            <numRef>
              <f>'Staffing Dashboard'!$E$4:$E$11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Team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Remote Readiness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'Staffing Dashboard'!F13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'Staffing Dashboard'!$E$14:$E$16</f>
            </numRef>
          </cat>
          <val>
            <numRef>
              <f>'Staffing Dashboard'!$F$14:$F$16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Training Pipeline Status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'Staffing Dashboard'!I13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'Staffing Dashboard'!$H$14:$H$16</f>
            </numRef>
          </cat>
          <val>
            <numRef>
              <f>'Staffing Dashboard'!$I$14:$I$16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../charts/chart6.xml" Id="rId1"/><Relationship Type="http://schemas.openxmlformats.org/officeDocument/2006/relationships/chart" Target="../charts/chart7.xml" Id="rId2"/><Relationship Type="http://schemas.openxmlformats.org/officeDocument/2006/relationships/chart" Target="../charts/chart8.xml" Id="rId3"/><Relationship Type="http://schemas.openxmlformats.org/officeDocument/2006/relationships/chart" Target="../charts/chart9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45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63</row>
      <rowOff>0</rowOff>
    </from>
    <ext cx="504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39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79" t="inlineStr">
        <is>
          <t>SURGE COMMAND CENTER</t>
        </is>
      </c>
    </row>
    <row r="2" ht="22" customHeight="1">
      <c r="A2" s="80" t="inlineStr">
        <is>
          <t>Executive Dashboard — Updated 20 April 2026 15:54 CDT</t>
        </is>
      </c>
    </row>
    <row r="3" ht="8" customHeight="1"/>
    <row r="4" ht="16" customHeight="1">
      <c r="A4" s="99" t="inlineStr">
        <is>
          <t>HEADCOUNT</t>
        </is>
      </c>
      <c r="B4" s="100" t="n"/>
      <c r="D4" s="99" t="inlineStr">
        <is>
          <t>PIPELINE ACTIVE</t>
        </is>
      </c>
      <c r="E4" s="100" t="n"/>
      <c r="G4" s="99" t="inlineStr">
        <is>
          <t>CLEARANCES COMPLETE</t>
        </is>
      </c>
      <c r="H4" s="100" t="n"/>
      <c r="J4" s="99" t="inlineStr">
        <is>
          <t>EQUIP FULFILLED</t>
        </is>
      </c>
      <c r="K4" s="100" t="n"/>
      <c r="M4" s="99" t="inlineStr">
        <is>
          <t>TRAINING COMPLETE</t>
        </is>
      </c>
      <c r="N4" s="100" t="n"/>
    </row>
    <row r="5" ht="28" customHeight="1">
      <c r="A5" s="83">
        <f>COUNTIF('Employee Roster'!M3:M22,"Deployed")+COUNTIF('Employee Roster'!M3:M22,"Training")+COUNTIF('Employee Roster'!M3:M22,"Nesting")+COUNTIF('Employee Roster'!M3:M22,"Onboarding")</f>
        <v/>
      </c>
      <c r="B5" s="101" t="n"/>
      <c r="D5" s="83">
        <f>COUNTIF('Candidate Pipeline'!W3:W22,"Sourced")+COUNTIF('Candidate Pipeline'!W3:W22,"Screened")+COUNTIF('Candidate Pipeline'!W3:W22,"Interviewed")+COUNTIF('Candidate Pipeline'!W3:W22,"Offered")+COUNTIF('Candidate Pipeline'!W3:W22,"Accepted")+COUNTIF('Candidate Pipeline'!W3:W22,"Onboarding")</f>
        <v/>
      </c>
      <c r="E5" s="101" t="n"/>
      <c r="G5" s="83">
        <f>COUNTIF('E-QIP Tracker'!Y3:Y17,"Complete")</f>
        <v/>
      </c>
      <c r="H5" s="101" t="n"/>
      <c r="J5" s="83">
        <f>COUNTIF('Employee Roster'!R3:R22,"Y")</f>
        <v/>
      </c>
      <c r="K5" s="101" t="n"/>
      <c r="M5" s="83">
        <f>COUNTIF('Employee Roster'!V3:V22,"Complete")</f>
        <v/>
      </c>
      <c r="N5" s="101" t="n"/>
    </row>
    <row r="6" ht="16" customHeight="1">
      <c r="A6" s="85" t="inlineStr">
        <is>
          <t>Target: 35</t>
        </is>
      </c>
      <c r="B6" s="102" t="n"/>
      <c r="D6" s="85" t="inlineStr">
        <is>
          <t>Candidates in Funnel</t>
        </is>
      </c>
      <c r="E6" s="102" t="n"/>
      <c r="G6" s="85" t="inlineStr">
        <is>
          <t>Of 15 Tracked</t>
        </is>
      </c>
      <c r="H6" s="102" t="n"/>
      <c r="J6" s="85" t="inlineStr">
        <is>
          <t>Delivered &amp; Verified</t>
        </is>
      </c>
      <c r="K6" s="102" t="n"/>
      <c r="M6" s="85" t="inlineStr">
        <is>
          <t>Personnel Trained</t>
        </is>
      </c>
      <c r="N6" s="102" t="n"/>
    </row>
    <row r="7" ht="8" customHeight="1"/>
    <row r="8" ht="16" customHeight="1">
      <c r="A8" s="99" t="inlineStr">
        <is>
          <t>QA AVG SCORE</t>
        </is>
      </c>
      <c r="B8" s="100" t="n"/>
      <c r="D8" s="99" t="inlineStr">
        <is>
          <t>ATTRITION RATE</t>
        </is>
      </c>
      <c r="E8" s="100" t="n"/>
      <c r="G8" s="99" t="inlineStr">
        <is>
          <t>OPEN RISKS</t>
        </is>
      </c>
      <c r="H8" s="100" t="n"/>
      <c r="J8" s="99" t="inlineStr">
        <is>
          <t>CHECKLIST DONE</t>
        </is>
      </c>
      <c r="K8" s="100" t="n"/>
      <c r="M8" s="99" t="inlineStr">
        <is>
          <t>ALERTS OPEN</t>
        </is>
      </c>
      <c r="N8" s="100" t="n"/>
    </row>
    <row r="9" ht="28" customHeight="1">
      <c r="A9" s="87">
        <f>ROUND(AVERAGE('QA Monitoring'!N3:N27),1)</f>
        <v/>
      </c>
      <c r="B9" s="101" t="n"/>
      <c r="D9" s="89">
        <f>IF(COUNTA('Employee Roster'!A3:A22)=0,0,COUNTIF('Employee Roster'!M3:M22,"Separated")/COUNTA('Employee Roster'!A3:A22))</f>
        <v/>
      </c>
      <c r="E9" s="101" t="n"/>
      <c r="G9" s="83">
        <f>COUNTIF('Risk Register'!K3:K22,"Open")+COUNTIF('Risk Register'!K3:K22,"Mitigating")</f>
        <v/>
      </c>
      <c r="H9" s="101" t="n"/>
      <c r="J9" s="91">
        <f>IF(COUNTA('Surge Checklist'!A3:A47)=0,0,COUNTIF('Surge Checklist'!H3:H47,"Complete")/COUNTA('Surge Checklist'!A3:A47))</f>
        <v/>
      </c>
      <c r="K9" s="101" t="n"/>
      <c r="M9" s="83">
        <f>COUNTIF(Alerts!H3:H17,"Open")</f>
        <v/>
      </c>
      <c r="N9" s="101" t="n"/>
    </row>
    <row r="10" ht="16" customHeight="1">
      <c r="A10" s="85" t="inlineStr">
        <is>
          <t>Across All Monitored</t>
        </is>
      </c>
      <c r="B10" s="102" t="n"/>
      <c r="D10" s="85" t="inlineStr">
        <is>
          <t>Separations / Hired</t>
        </is>
      </c>
      <c r="E10" s="102" t="n"/>
      <c r="G10" s="85" t="inlineStr">
        <is>
          <t>Active Risk Items</t>
        </is>
      </c>
      <c r="H10" s="102" t="n"/>
      <c r="J10" s="85" t="inlineStr">
        <is>
          <t>Tasks Complete %</t>
        </is>
      </c>
      <c r="K10" s="102" t="n"/>
      <c r="M10" s="85" t="inlineStr">
        <is>
          <t>Action Items Pending</t>
        </is>
      </c>
      <c r="N10" s="102" t="n"/>
    </row>
    <row r="11" ht="8" customHeight="1"/>
    <row r="12">
      <c r="A12" s="93" t="inlineStr">
        <is>
          <t>PIPELINE FUNNEL DATA</t>
        </is>
      </c>
      <c r="B12" s="103" t="n"/>
      <c r="D12" s="93" t="inlineStr">
        <is>
          <t>CLEARANCE STATUS DATA</t>
        </is>
      </c>
      <c r="E12" s="103" t="n"/>
      <c r="G12" s="93" t="inlineStr">
        <is>
          <t>HEADCOUNT RAMP-UP</t>
        </is>
      </c>
      <c r="H12" s="103" t="n"/>
      <c r="I12" s="94" t="n"/>
      <c r="K12" s="93" t="inlineStr">
        <is>
          <t>RISK HEAT MAP DATA</t>
        </is>
      </c>
      <c r="L12" s="104" t="n"/>
      <c r="M12" s="104" t="n"/>
      <c r="N12" s="103" t="n"/>
    </row>
    <row r="13">
      <c r="A13" s="95" t="inlineStr">
        <is>
          <t>Sourced</t>
        </is>
      </c>
      <c r="B13" s="96">
        <f>COUNTIF('Candidate Pipeline'!W3:W22,A13)</f>
        <v/>
      </c>
      <c r="D13" s="95" t="inlineStr">
        <is>
          <t>Complete</t>
        </is>
      </c>
      <c r="E13" s="96">
        <f>COUNTIF('E-QIP Tracker'!Y3:Y17,D13)</f>
        <v/>
      </c>
      <c r="G13" s="97" t="inlineStr">
        <is>
          <t>Week</t>
        </is>
      </c>
      <c r="H13" s="97" t="inlineStr">
        <is>
          <t>Actual</t>
        </is>
      </c>
      <c r="I13" s="97" t="inlineStr">
        <is>
          <t>Target</t>
        </is>
      </c>
      <c r="K13" s="97" t="inlineStr">
        <is>
          <t>Risk Level</t>
        </is>
      </c>
      <c r="L13" s="97" t="inlineStr">
        <is>
          <t>Count</t>
        </is>
      </c>
      <c r="M13" s="97" t="inlineStr">
        <is>
          <t>Avg Score</t>
        </is>
      </c>
      <c r="N13" s="97" t="inlineStr">
        <is>
          <t>Max Score</t>
        </is>
      </c>
    </row>
    <row r="14">
      <c r="A14" s="95" t="inlineStr">
        <is>
          <t>Screened</t>
        </is>
      </c>
      <c r="B14" s="96">
        <f>COUNTIF('Candidate Pipeline'!W3:W22,A14)</f>
        <v/>
      </c>
      <c r="D14" s="95" t="inlineStr">
        <is>
          <t>Investigation</t>
        </is>
      </c>
      <c r="E14" s="96">
        <f>COUNTIF('E-QIP Tracker'!Y3:Y17,D14)</f>
        <v/>
      </c>
      <c r="G14" s="96" t="inlineStr">
        <is>
          <t>Pre-Surge</t>
        </is>
      </c>
      <c r="H14" s="96" t="n">
        <v>3</v>
      </c>
      <c r="I14" s="96" t="n">
        <v>3</v>
      </c>
      <c r="K14" s="95" t="inlineStr">
        <is>
          <t>Critical</t>
        </is>
      </c>
      <c r="L14" s="96">
        <f>COUNTIF('Risk Register'!G3:G22,K14)</f>
        <v/>
      </c>
      <c r="M14" s="96">
        <f>IFERROR(AVERAGEIF('Risk Register'!G3:G22,K14,'Risk Register'!F3:F22),0)</f>
        <v/>
      </c>
      <c r="N14" s="96">
        <f>IFERROR(MAXIFS('Risk Register'!F3:F22,'Risk Register'!G3:G22,K14),0)</f>
        <v/>
      </c>
    </row>
    <row r="15">
      <c r="A15" s="95" t="inlineStr">
        <is>
          <t>Interviewed</t>
        </is>
      </c>
      <c r="B15" s="96">
        <f>COUNTIF('Candidate Pipeline'!W3:W22,A15)</f>
        <v/>
      </c>
      <c r="D15" s="95" t="inlineStr">
        <is>
          <t>Submitted</t>
        </is>
      </c>
      <c r="E15" s="96">
        <f>COUNTIF('E-QIP Tracker'!Y3:Y17,D15)</f>
        <v/>
      </c>
      <c r="G15" s="96" t="inlineStr">
        <is>
          <t>Week 1</t>
        </is>
      </c>
      <c r="H15" s="96" t="n">
        <v>10</v>
      </c>
      <c r="I15" s="96" t="n">
        <v>12</v>
      </c>
      <c r="K15" s="95" t="inlineStr">
        <is>
          <t>High</t>
        </is>
      </c>
      <c r="L15" s="96">
        <f>COUNTIF('Risk Register'!G3:G22,K15)</f>
        <v/>
      </c>
      <c r="M15" s="96">
        <f>IFERROR(AVERAGEIF('Risk Register'!G3:G22,K15,'Risk Register'!F3:F22),0)</f>
        <v/>
      </c>
      <c r="N15" s="96">
        <f>IFERROR(MAXIFS('Risk Register'!F3:F22,'Risk Register'!G3:G22,K15),0)</f>
        <v/>
      </c>
    </row>
    <row r="16">
      <c r="A16" s="95" t="inlineStr">
        <is>
          <t>Offered</t>
        </is>
      </c>
      <c r="B16" s="96">
        <f>COUNTIF('Candidate Pipeline'!W3:W22,A16)</f>
        <v/>
      </c>
      <c r="D16" s="95" t="inlineStr">
        <is>
          <t>Interim Pending</t>
        </is>
      </c>
      <c r="E16" s="96">
        <f>COUNTIF('E-QIP Tracker'!Y3:Y17,D16)</f>
        <v/>
      </c>
      <c r="G16" s="96" t="inlineStr">
        <is>
          <t>Week 2</t>
        </is>
      </c>
      <c r="H16" s="96" t="n">
        <v>18</v>
      </c>
      <c r="I16" s="96" t="n">
        <v>20</v>
      </c>
      <c r="K16" s="95" t="inlineStr">
        <is>
          <t>Medium</t>
        </is>
      </c>
      <c r="L16" s="96">
        <f>COUNTIF('Risk Register'!G3:G22,K16)</f>
        <v/>
      </c>
      <c r="M16" s="96">
        <f>IFERROR(AVERAGEIF('Risk Register'!G3:G22,K16,'Risk Register'!F3:F22),0)</f>
        <v/>
      </c>
      <c r="N16" s="96">
        <f>IFERROR(MAXIFS('Risk Register'!F3:F22,'Risk Register'!G3:G22,K16),0)</f>
        <v/>
      </c>
    </row>
    <row r="17">
      <c r="A17" s="95" t="inlineStr">
        <is>
          <t>Accepted</t>
        </is>
      </c>
      <c r="B17" s="96">
        <f>COUNTIF('Candidate Pipeline'!W3:W22,A17)</f>
        <v/>
      </c>
      <c r="D17" s="95" t="inlineStr">
        <is>
          <t>Account Created</t>
        </is>
      </c>
      <c r="E17" s="96">
        <f>COUNTIF('E-QIP Tracker'!Y3:Y17,D17)</f>
        <v/>
      </c>
      <c r="G17" s="96" t="inlineStr">
        <is>
          <t>Week 3</t>
        </is>
      </c>
      <c r="H17" s="96" t="n">
        <v>25</v>
      </c>
      <c r="I17" s="96" t="n">
        <v>28</v>
      </c>
      <c r="K17" s="95" t="inlineStr">
        <is>
          <t>Low</t>
        </is>
      </c>
      <c r="L17" s="96">
        <f>COUNTIF('Risk Register'!G3:G22,K17)</f>
        <v/>
      </c>
      <c r="M17" s="96">
        <f>IFERROR(AVERAGEIF('Risk Register'!G3:G22,K17,'Risk Register'!F3:F22),0)</f>
        <v/>
      </c>
      <c r="N17" s="96">
        <f>IFERROR(MAXIFS('Risk Register'!F3:F22,'Risk Register'!G3:G22,K17),0)</f>
        <v/>
      </c>
    </row>
    <row r="18">
      <c r="A18" s="95" t="inlineStr">
        <is>
          <t>Onboarding</t>
        </is>
      </c>
      <c r="B18" s="96">
        <f>COUNTIF('Candidate Pipeline'!W3:W22,A18)</f>
        <v/>
      </c>
      <c r="D18" s="95" t="inlineStr">
        <is>
          <t>Not Started</t>
        </is>
      </c>
      <c r="E18" s="96">
        <f>COUNTIF('E-QIP Tracker'!Y3:Y17,D18)</f>
        <v/>
      </c>
      <c r="G18" s="96" t="inlineStr">
        <is>
          <t>Week 4 (Plan)</t>
        </is>
      </c>
      <c r="H18" s="96" t="n">
        <v>32</v>
      </c>
      <c r="I18" s="96" t="n">
        <v>35</v>
      </c>
    </row>
    <row r="19">
      <c r="A19" s="95" t="inlineStr">
        <is>
          <t>Deployed</t>
        </is>
      </c>
      <c r="B19" s="96">
        <f>COUNTIF('Candidate Pipeline'!W3:W22,A19)</f>
        <v/>
      </c>
    </row>
    <row r="20"/>
    <row r="21">
      <c r="A21" s="93" t="inlineStr">
        <is>
          <t>QA SCORE DISTRIBUTION</t>
        </is>
      </c>
      <c r="B21" s="103" t="n"/>
    </row>
    <row r="22">
      <c r="A22" s="98" t="inlineStr">
        <is>
          <t>90-100 (Excellent)</t>
        </is>
      </c>
      <c r="B22" s="94">
        <f>COUNTIFS('QA Monitoring'!N3:N27,"&gt;=90")</f>
        <v/>
      </c>
    </row>
    <row r="23">
      <c r="A23" s="98" t="inlineStr">
        <is>
          <t>80-89 (Good)</t>
        </is>
      </c>
      <c r="B23" s="94">
        <f>COUNTIFS('QA Monitoring'!N3:N27,"&gt;=80",'QA Monitoring'!N3:N27,"&lt;90")</f>
        <v/>
      </c>
    </row>
    <row r="24">
      <c r="A24" s="98" t="inlineStr">
        <is>
          <t>70-79 (Needs Improvement)</t>
        </is>
      </c>
      <c r="B24" s="94">
        <f>COUNTIFS('QA Monitoring'!N3:N27,"&gt;=70",'QA Monitoring'!N3:N27,"&lt;80")</f>
        <v/>
      </c>
    </row>
    <row r="25">
      <c r="A25" s="98" t="inlineStr">
        <is>
          <t>Below 70 (Failing)</t>
        </is>
      </c>
      <c r="B25" s="94">
        <f>COUNTIFS('QA Monitoring'!N3:N27,"&lt;70")</f>
        <v/>
      </c>
    </row>
  </sheetData>
  <mergeCells count="37">
    <mergeCell ref="G12:H12"/>
    <mergeCell ref="D10:E10"/>
    <mergeCell ref="J5:K5"/>
    <mergeCell ref="J10:K10"/>
    <mergeCell ref="M9:N9"/>
    <mergeCell ref="M5:N5"/>
    <mergeCell ref="G8:H8"/>
    <mergeCell ref="A6:B6"/>
    <mergeCell ref="A1:N1"/>
    <mergeCell ref="J9:K9"/>
    <mergeCell ref="D6:E6"/>
    <mergeCell ref="J6:K6"/>
    <mergeCell ref="G10:H10"/>
    <mergeCell ref="M10:N10"/>
    <mergeCell ref="G6:H6"/>
    <mergeCell ref="A12:B12"/>
    <mergeCell ref="J4:K4"/>
    <mergeCell ref="A21:B21"/>
    <mergeCell ref="M6:N6"/>
    <mergeCell ref="A2:N2"/>
    <mergeCell ref="A5:B5"/>
    <mergeCell ref="G5:H5"/>
    <mergeCell ref="D4:E4"/>
    <mergeCell ref="A8:B8"/>
    <mergeCell ref="D9:E9"/>
    <mergeCell ref="M8:N8"/>
    <mergeCell ref="D12:E12"/>
    <mergeCell ref="A4:B4"/>
    <mergeCell ref="G4:H4"/>
    <mergeCell ref="D8:E8"/>
    <mergeCell ref="D5:E5"/>
    <mergeCell ref="A10:B10"/>
    <mergeCell ref="K12:N12"/>
    <mergeCell ref="A9:B9"/>
    <mergeCell ref="G9:H9"/>
    <mergeCell ref="J8:K8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50" customWidth="1" min="4" max="4"/>
    <col width="16" customWidth="1" min="5" max="5"/>
    <col width="12" customWidth="1" min="6" max="6"/>
    <col width="14" customWidth="1" min="7" max="7"/>
    <col width="12" customWidth="1" min="8" max="8"/>
    <col width="10" customWidth="1" min="9" max="9"/>
    <col width="14" customWidth="1" min="10" max="10"/>
    <col width="14" customWidth="1" min="11" max="11"/>
  </cols>
  <sheetData>
    <row r="1" ht="30" customHeight="1">
      <c r="A1" s="1" t="inlineStr">
        <is>
          <t>SURGE CHECKLIST — Day 0-30 Task Tracker</t>
        </is>
      </c>
    </row>
    <row r="2" ht="30" customHeight="1">
      <c r="A2" s="2" t="inlineStr">
        <is>
          <t>Phase</t>
        </is>
      </c>
      <c r="B2" s="3" t="inlineStr">
        <is>
          <t>Task #</t>
        </is>
      </c>
      <c r="C2" s="3" t="inlineStr">
        <is>
          <t>Section</t>
        </is>
      </c>
      <c r="D2" s="3" t="inlineStr">
        <is>
          <t>Task Description</t>
        </is>
      </c>
      <c r="E2" s="3" t="inlineStr">
        <is>
          <t>Owner</t>
        </is>
      </c>
      <c r="F2" s="3" t="inlineStr">
        <is>
          <t>Due Date</t>
        </is>
      </c>
      <c r="G2" s="3" t="inlineStr">
        <is>
          <t>Completion Date</t>
        </is>
      </c>
      <c r="H2" s="3" t="inlineStr">
        <is>
          <t>Status</t>
        </is>
      </c>
      <c r="I2" s="3" t="inlineStr">
        <is>
          <t>Priority</t>
        </is>
      </c>
      <c r="J2" s="3" t="inlineStr">
        <is>
          <t>Dependencies</t>
        </is>
      </c>
      <c r="K2" s="131" t="inlineStr">
        <is>
          <t>Days Until Due</t>
        </is>
      </c>
    </row>
    <row r="3">
      <c r="A3" s="5" t="inlineStr">
        <is>
          <t>Pre-Surge</t>
        </is>
      </c>
      <c r="B3" s="6" t="inlineStr">
        <is>
          <t>T-001</t>
        </is>
      </c>
      <c r="C3" s="6" t="inlineStr">
        <is>
          <t>Workforce Planning</t>
        </is>
      </c>
      <c r="D3" s="7" t="inlineStr">
        <is>
          <t>Finalize surge headcount requirements and labor categories</t>
        </is>
      </c>
      <c r="E3" s="6" t="inlineStr">
        <is>
          <t>Program Manager</t>
        </is>
      </c>
      <c r="F3" s="27" t="n">
        <v>46113</v>
      </c>
      <c r="G3" s="27" t="n">
        <v>46113</v>
      </c>
      <c r="H3" s="124" t="inlineStr">
        <is>
          <t>Complete</t>
        </is>
      </c>
      <c r="I3" s="126" t="inlineStr">
        <is>
          <t>Critical</t>
        </is>
      </c>
      <c r="J3" s="6" t="inlineStr"/>
      <c r="K3" s="138">
        <f>IF(OR(F3="",H3="Complete"),"",F3-TODAY())</f>
        <v/>
      </c>
    </row>
    <row r="4">
      <c r="A4" s="10" t="inlineStr">
        <is>
          <t>Pre-Surge</t>
        </is>
      </c>
      <c r="B4" s="11" t="inlineStr">
        <is>
          <t>T-002</t>
        </is>
      </c>
      <c r="C4" s="11" t="inlineStr">
        <is>
          <t>Workforce Planning</t>
        </is>
      </c>
      <c r="D4" s="12" t="inlineStr">
        <is>
          <t>Submit staffing plan to contracting officer for approval</t>
        </is>
      </c>
      <c r="E4" s="11" t="inlineStr">
        <is>
          <t>Program Manager</t>
        </is>
      </c>
      <c r="F4" s="28" t="n">
        <v>46114</v>
      </c>
      <c r="G4" s="28" t="n">
        <v>46114</v>
      </c>
      <c r="H4" s="124" t="inlineStr">
        <is>
          <t>Complete</t>
        </is>
      </c>
      <c r="I4" s="126" t="inlineStr">
        <is>
          <t>Critical</t>
        </is>
      </c>
      <c r="J4" s="11" t="inlineStr">
        <is>
          <t>T-001</t>
        </is>
      </c>
      <c r="K4" s="139">
        <f>IF(OR(F4="",H4="Complete"),"",F4-TODAY())</f>
        <v/>
      </c>
    </row>
    <row r="5">
      <c r="A5" s="5" t="inlineStr">
        <is>
          <t>Pre-Surge</t>
        </is>
      </c>
      <c r="B5" s="6" t="inlineStr">
        <is>
          <t>T-003</t>
        </is>
      </c>
      <c r="C5" s="6" t="inlineStr">
        <is>
          <t>Workforce Planning</t>
        </is>
      </c>
      <c r="D5" s="7" t="inlineStr">
        <is>
          <t>Define remote work policies and telework agreements</t>
        </is>
      </c>
      <c r="E5" s="6" t="inlineStr">
        <is>
          <t>HR Manager</t>
        </is>
      </c>
      <c r="F5" s="27" t="n">
        <v>46115</v>
      </c>
      <c r="G5" s="27" t="n">
        <v>46115</v>
      </c>
      <c r="H5" s="124" t="inlineStr">
        <is>
          <t>Complete</t>
        </is>
      </c>
      <c r="I5" s="140" t="inlineStr">
        <is>
          <t>High</t>
        </is>
      </c>
      <c r="J5" s="6" t="inlineStr"/>
      <c r="K5" s="138">
        <f>IF(OR(F5="",H5="Complete"),"",F5-TODAY())</f>
        <v/>
      </c>
    </row>
    <row r="6">
      <c r="A6" s="10" t="inlineStr">
        <is>
          <t>Pre-Surge</t>
        </is>
      </c>
      <c r="B6" s="11" t="inlineStr">
        <is>
          <t>T-004</t>
        </is>
      </c>
      <c r="C6" s="11" t="inlineStr">
        <is>
          <t>Recruiting</t>
        </is>
      </c>
      <c r="D6" s="12" t="inlineStr">
        <is>
          <t>Post all surge positions on approved job boards</t>
        </is>
      </c>
      <c r="E6" s="11" t="inlineStr">
        <is>
          <t>Recruiting Lead</t>
        </is>
      </c>
      <c r="F6" s="28" t="n">
        <v>46115</v>
      </c>
      <c r="G6" s="28" t="n">
        <v>46115</v>
      </c>
      <c r="H6" s="124" t="inlineStr">
        <is>
          <t>Complete</t>
        </is>
      </c>
      <c r="I6" s="126" t="inlineStr">
        <is>
          <t>Critical</t>
        </is>
      </c>
      <c r="J6" s="11" t="inlineStr">
        <is>
          <t>T-001</t>
        </is>
      </c>
      <c r="K6" s="139">
        <f>IF(OR(F6="",H6="Complete"),"",F6-TODAY())</f>
        <v/>
      </c>
    </row>
    <row r="7">
      <c r="A7" s="5" t="inlineStr">
        <is>
          <t>Pre-Surge</t>
        </is>
      </c>
      <c r="B7" s="6" t="inlineStr">
        <is>
          <t>T-005</t>
        </is>
      </c>
      <c r="C7" s="6" t="inlineStr">
        <is>
          <t>Recruiting</t>
        </is>
      </c>
      <c r="D7" s="7" t="inlineStr">
        <is>
          <t>Activate staffing agency contracts for contingent hiring</t>
        </is>
      </c>
      <c r="E7" s="6" t="inlineStr">
        <is>
          <t>Recruiting Lead</t>
        </is>
      </c>
      <c r="F7" s="27" t="n">
        <v>46116</v>
      </c>
      <c r="G7" s="27" t="n">
        <v>46116</v>
      </c>
      <c r="H7" s="124" t="inlineStr">
        <is>
          <t>Complete</t>
        </is>
      </c>
      <c r="I7" s="140" t="inlineStr">
        <is>
          <t>High</t>
        </is>
      </c>
      <c r="J7" s="6" t="inlineStr"/>
      <c r="K7" s="138">
        <f>IF(OR(F7="",H7="Complete"),"",F7-TODAY())</f>
        <v/>
      </c>
    </row>
    <row r="8">
      <c r="A8" s="10" t="inlineStr">
        <is>
          <t>Pre-Surge</t>
        </is>
      </c>
      <c r="B8" s="11" t="inlineStr">
        <is>
          <t>T-006</t>
        </is>
      </c>
      <c r="C8" s="11" t="inlineStr">
        <is>
          <t>Security &amp; Compliance</t>
        </is>
      </c>
      <c r="D8" s="12" t="inlineStr">
        <is>
          <t>Submit SAAR forms for all anticipated system access</t>
        </is>
      </c>
      <c r="E8" s="11" t="inlineStr">
        <is>
          <t>FSO/Security</t>
        </is>
      </c>
      <c r="F8" s="28" t="n">
        <v>46117</v>
      </c>
      <c r="G8" s="28" t="n">
        <v>46116</v>
      </c>
      <c r="H8" s="124" t="inlineStr">
        <is>
          <t>Complete</t>
        </is>
      </c>
      <c r="I8" s="126" t="inlineStr">
        <is>
          <t>Critical</t>
        </is>
      </c>
      <c r="J8" s="11" t="inlineStr"/>
      <c r="K8" s="139">
        <f>IF(OR(F8="",H8="Complete"),"",F8-TODAY())</f>
        <v/>
      </c>
    </row>
    <row r="9">
      <c r="A9" s="5" t="inlineStr">
        <is>
          <t>Pre-Surge</t>
        </is>
      </c>
      <c r="B9" s="6" t="inlineStr">
        <is>
          <t>T-007</t>
        </is>
      </c>
      <c r="C9" s="6" t="inlineStr">
        <is>
          <t>IT &amp; Equipment</t>
        </is>
      </c>
      <c r="D9" s="7" t="inlineStr">
        <is>
          <t>Order laptops and peripherals for first cohort (20 units)</t>
        </is>
      </c>
      <c r="E9" s="6" t="inlineStr">
        <is>
          <t>IT Lead</t>
        </is>
      </c>
      <c r="F9" s="27" t="n">
        <v>46117</v>
      </c>
      <c r="G9" s="27" t="n">
        <v>46117</v>
      </c>
      <c r="H9" s="124" t="inlineStr">
        <is>
          <t>Complete</t>
        </is>
      </c>
      <c r="I9" s="126" t="inlineStr">
        <is>
          <t>Critical</t>
        </is>
      </c>
      <c r="J9" s="6" t="inlineStr">
        <is>
          <t>T-001</t>
        </is>
      </c>
      <c r="K9" s="138">
        <f>IF(OR(F9="",H9="Complete"),"",F9-TODAY())</f>
        <v/>
      </c>
    </row>
    <row r="10">
      <c r="A10" s="10" t="inlineStr">
        <is>
          <t>Pre-Surge</t>
        </is>
      </c>
      <c r="B10" s="11" t="inlineStr">
        <is>
          <t>T-008</t>
        </is>
      </c>
      <c r="C10" s="11" t="inlineStr">
        <is>
          <t>IT &amp; Equipment</t>
        </is>
      </c>
      <c r="D10" s="12" t="inlineStr">
        <is>
          <t>Provision VPN accounts and MFA tokens</t>
        </is>
      </c>
      <c r="E10" s="11" t="inlineStr">
        <is>
          <t>IT Lead</t>
        </is>
      </c>
      <c r="F10" s="28" t="n">
        <v>46118</v>
      </c>
      <c r="G10" s="28" t="n">
        <v>46118</v>
      </c>
      <c r="H10" s="124" t="inlineStr">
        <is>
          <t>Complete</t>
        </is>
      </c>
      <c r="I10" s="126" t="inlineStr">
        <is>
          <t>Critical</t>
        </is>
      </c>
      <c r="J10" s="11" t="inlineStr"/>
      <c r="K10" s="139">
        <f>IF(OR(F10="",H10="Complete"),"",F10-TODAY())</f>
        <v/>
      </c>
    </row>
    <row r="11">
      <c r="A11" s="5" t="inlineStr">
        <is>
          <t>Pre-Surge</t>
        </is>
      </c>
      <c r="B11" s="6" t="inlineStr">
        <is>
          <t>T-009</t>
        </is>
      </c>
      <c r="C11" s="6" t="inlineStr">
        <is>
          <t>Training</t>
        </is>
      </c>
      <c r="D11" s="7" t="inlineStr">
        <is>
          <t>Develop virtual training curriculum and LMS modules</t>
        </is>
      </c>
      <c r="E11" s="6" t="inlineStr">
        <is>
          <t>Training Lead</t>
        </is>
      </c>
      <c r="F11" s="27" t="n">
        <v>46118</v>
      </c>
      <c r="G11" s="27" t="n">
        <v>46117</v>
      </c>
      <c r="H11" s="124" t="inlineStr">
        <is>
          <t>Complete</t>
        </is>
      </c>
      <c r="I11" s="140" t="inlineStr">
        <is>
          <t>High</t>
        </is>
      </c>
      <c r="J11" s="6" t="inlineStr"/>
      <c r="K11" s="138">
        <f>IF(OR(F11="",H11="Complete"),"",F11-TODAY())</f>
        <v/>
      </c>
    </row>
    <row r="12">
      <c r="A12" s="10" t="inlineStr">
        <is>
          <t>Pre-Surge</t>
        </is>
      </c>
      <c r="B12" s="11" t="inlineStr">
        <is>
          <t>T-010</t>
        </is>
      </c>
      <c r="C12" s="11" t="inlineStr">
        <is>
          <t>HR &amp; Onboarding</t>
        </is>
      </c>
      <c r="D12" s="12" t="inlineStr">
        <is>
          <t>Prepare onboarding packets and welcome emails</t>
        </is>
      </c>
      <c r="E12" s="11" t="inlineStr">
        <is>
          <t>HR Manager</t>
        </is>
      </c>
      <c r="F12" s="28" t="n">
        <v>46119</v>
      </c>
      <c r="G12" s="28" t="n">
        <v>46119</v>
      </c>
      <c r="H12" s="124" t="inlineStr">
        <is>
          <t>Complete</t>
        </is>
      </c>
      <c r="I12" s="127" t="inlineStr">
        <is>
          <t>Medium</t>
        </is>
      </c>
      <c r="J12" s="11" t="inlineStr"/>
      <c r="K12" s="139">
        <f>IF(OR(F12="",H12="Complete"),"",F12-TODAY())</f>
        <v/>
      </c>
    </row>
    <row r="13">
      <c r="A13" s="5" t="inlineStr">
        <is>
          <t>Day 0-1</t>
        </is>
      </c>
      <c r="B13" s="6" t="inlineStr">
        <is>
          <t>T-011</t>
        </is>
      </c>
      <c r="C13" s="6" t="inlineStr">
        <is>
          <t>Recruiting</t>
        </is>
      </c>
      <c r="D13" s="7" t="inlineStr">
        <is>
          <t>Screen and schedule phone interviews for first cohort</t>
        </is>
      </c>
      <c r="E13" s="6" t="inlineStr">
        <is>
          <t>Recruiting Lead</t>
        </is>
      </c>
      <c r="F13" s="27" t="n">
        <v>46120</v>
      </c>
      <c r="G13" s="27" t="n">
        <v>46120</v>
      </c>
      <c r="H13" s="124" t="inlineStr">
        <is>
          <t>Complete</t>
        </is>
      </c>
      <c r="I13" s="126" t="inlineStr">
        <is>
          <t>Critical</t>
        </is>
      </c>
      <c r="J13" s="6" t="inlineStr">
        <is>
          <t>T-004</t>
        </is>
      </c>
      <c r="K13" s="138">
        <f>IF(OR(F13="",H13="Complete"),"",F13-TODAY())</f>
        <v/>
      </c>
    </row>
    <row r="14">
      <c r="A14" s="10" t="inlineStr">
        <is>
          <t>Day 0-1</t>
        </is>
      </c>
      <c r="B14" s="11" t="inlineStr">
        <is>
          <t>T-012</t>
        </is>
      </c>
      <c r="C14" s="11" t="inlineStr">
        <is>
          <t>Security &amp; Compliance</t>
        </is>
      </c>
      <c r="D14" s="12" t="inlineStr">
        <is>
          <t>Initiate eQIP accounts for cleared positions</t>
        </is>
      </c>
      <c r="E14" s="11" t="inlineStr">
        <is>
          <t>FSO/Security</t>
        </is>
      </c>
      <c r="F14" s="28" t="n">
        <v>46120</v>
      </c>
      <c r="G14" s="28" t="n">
        <v>46120</v>
      </c>
      <c r="H14" s="124" t="inlineStr">
        <is>
          <t>Complete</t>
        </is>
      </c>
      <c r="I14" s="126" t="inlineStr">
        <is>
          <t>Critical</t>
        </is>
      </c>
      <c r="J14" s="11" t="inlineStr"/>
      <c r="K14" s="139">
        <f>IF(OR(F14="",H14="Complete"),"",F14-TODAY())</f>
        <v/>
      </c>
    </row>
    <row r="15">
      <c r="A15" s="5" t="inlineStr">
        <is>
          <t>Day 0-1</t>
        </is>
      </c>
      <c r="B15" s="6" t="inlineStr">
        <is>
          <t>T-013</t>
        </is>
      </c>
      <c r="C15" s="6" t="inlineStr">
        <is>
          <t>IT &amp; Equipment</t>
        </is>
      </c>
      <c r="D15" s="7" t="inlineStr">
        <is>
          <t>Ship equipment to first cohort remote locations</t>
        </is>
      </c>
      <c r="E15" s="6" t="inlineStr">
        <is>
          <t>IT Lead</t>
        </is>
      </c>
      <c r="F15" s="27" t="n">
        <v>46121</v>
      </c>
      <c r="G15" s="27" t="n">
        <v>46121</v>
      </c>
      <c r="H15" s="124" t="inlineStr">
        <is>
          <t>Complete</t>
        </is>
      </c>
      <c r="I15" s="126" t="inlineStr">
        <is>
          <t>Critical</t>
        </is>
      </c>
      <c r="J15" s="6" t="inlineStr">
        <is>
          <t>T-007</t>
        </is>
      </c>
      <c r="K15" s="138">
        <f>IF(OR(F15="",H15="Complete"),"",F15-TODAY())</f>
        <v/>
      </c>
    </row>
    <row r="16">
      <c r="A16" s="10" t="inlineStr">
        <is>
          <t>Day 0-1</t>
        </is>
      </c>
      <c r="B16" s="11" t="inlineStr">
        <is>
          <t>T-014</t>
        </is>
      </c>
      <c r="C16" s="11" t="inlineStr">
        <is>
          <t>HR &amp; Onboarding</t>
        </is>
      </c>
      <c r="D16" s="12" t="inlineStr">
        <is>
          <t>Conduct virtual Day 1 orientation sessions</t>
        </is>
      </c>
      <c r="E16" s="11" t="inlineStr">
        <is>
          <t>HR Manager</t>
        </is>
      </c>
      <c r="F16" s="28" t="n">
        <v>46121</v>
      </c>
      <c r="G16" s="28" t="n">
        <v>46121</v>
      </c>
      <c r="H16" s="124" t="inlineStr">
        <is>
          <t>Complete</t>
        </is>
      </c>
      <c r="I16" s="140" t="inlineStr">
        <is>
          <t>High</t>
        </is>
      </c>
      <c r="J16" s="11" t="inlineStr">
        <is>
          <t>T-010</t>
        </is>
      </c>
      <c r="K16" s="139">
        <f>IF(OR(F16="",H16="Complete"),"",F16-TODAY())</f>
        <v/>
      </c>
    </row>
    <row r="17">
      <c r="A17" s="5" t="inlineStr">
        <is>
          <t>Day 0-1</t>
        </is>
      </c>
      <c r="B17" s="6" t="inlineStr">
        <is>
          <t>T-015</t>
        </is>
      </c>
      <c r="C17" s="6" t="inlineStr">
        <is>
          <t>Training</t>
        </is>
      </c>
      <c r="D17" s="7" t="inlineStr">
        <is>
          <t>Launch online security awareness training</t>
        </is>
      </c>
      <c r="E17" s="6" t="inlineStr">
        <is>
          <t>Training Lead</t>
        </is>
      </c>
      <c r="F17" s="27" t="n">
        <v>46121</v>
      </c>
      <c r="G17" s="27" t="n">
        <v>46120</v>
      </c>
      <c r="H17" s="124" t="inlineStr">
        <is>
          <t>Complete</t>
        </is>
      </c>
      <c r="I17" s="126" t="inlineStr">
        <is>
          <t>Critical</t>
        </is>
      </c>
      <c r="J17" s="6" t="inlineStr">
        <is>
          <t>T-009</t>
        </is>
      </c>
      <c r="K17" s="138">
        <f>IF(OR(F17="",H17="Complete"),"",F17-TODAY())</f>
        <v/>
      </c>
    </row>
    <row r="18">
      <c r="A18" s="10" t="inlineStr">
        <is>
          <t>Day 2-3</t>
        </is>
      </c>
      <c r="B18" s="11" t="inlineStr">
        <is>
          <t>T-016</t>
        </is>
      </c>
      <c r="C18" s="11" t="inlineStr">
        <is>
          <t>Recruiting</t>
        </is>
      </c>
      <c r="D18" s="12" t="inlineStr">
        <is>
          <t>Complete first-round interviews for Cohort 1</t>
        </is>
      </c>
      <c r="E18" s="11" t="inlineStr">
        <is>
          <t>Recruiting Lead</t>
        </is>
      </c>
      <c r="F18" s="28" t="n">
        <v>46122</v>
      </c>
      <c r="G18" s="28" t="n">
        <v>46122</v>
      </c>
      <c r="H18" s="124" t="inlineStr">
        <is>
          <t>Complete</t>
        </is>
      </c>
      <c r="I18" s="140" t="inlineStr">
        <is>
          <t>High</t>
        </is>
      </c>
      <c r="J18" s="11" t="inlineStr">
        <is>
          <t>T-011</t>
        </is>
      </c>
      <c r="K18" s="139">
        <f>IF(OR(F18="",H18="Complete"),"",F18-TODAY())</f>
        <v/>
      </c>
    </row>
    <row r="19">
      <c r="A19" s="5" t="inlineStr">
        <is>
          <t>Day 2-3</t>
        </is>
      </c>
      <c r="B19" s="6" t="inlineStr">
        <is>
          <t>T-017</t>
        </is>
      </c>
      <c r="C19" s="6" t="inlineStr">
        <is>
          <t>Security &amp; Compliance</t>
        </is>
      </c>
      <c r="D19" s="7" t="inlineStr">
        <is>
          <t>Collect OF-306 forms from all new hires</t>
        </is>
      </c>
      <c r="E19" s="6" t="inlineStr">
        <is>
          <t>FSO/Security</t>
        </is>
      </c>
      <c r="F19" s="27" t="n">
        <v>46122</v>
      </c>
      <c r="G19" s="27" t="n">
        <v>46122</v>
      </c>
      <c r="H19" s="124" t="inlineStr">
        <is>
          <t>Complete</t>
        </is>
      </c>
      <c r="I19" s="126" t="inlineStr">
        <is>
          <t>Critical</t>
        </is>
      </c>
      <c r="J19" s="6" t="inlineStr"/>
      <c r="K19" s="138">
        <f>IF(OR(F19="",H19="Complete"),"",F19-TODAY())</f>
        <v/>
      </c>
    </row>
    <row r="20">
      <c r="A20" s="10" t="inlineStr">
        <is>
          <t>Day 2-3</t>
        </is>
      </c>
      <c r="B20" s="11" t="inlineStr">
        <is>
          <t>T-018</t>
        </is>
      </c>
      <c r="C20" s="11" t="inlineStr">
        <is>
          <t>IT &amp; Equipment</t>
        </is>
      </c>
      <c r="D20" s="12" t="inlineStr">
        <is>
          <t>Verify remote workspace attestation forms</t>
        </is>
      </c>
      <c r="E20" s="11" t="inlineStr">
        <is>
          <t>IT Lead</t>
        </is>
      </c>
      <c r="F20" s="28" t="n">
        <v>46123</v>
      </c>
      <c r="G20" s="28" t="n">
        <v>46123</v>
      </c>
      <c r="H20" s="124" t="inlineStr">
        <is>
          <t>Complete</t>
        </is>
      </c>
      <c r="I20" s="140" t="inlineStr">
        <is>
          <t>High</t>
        </is>
      </c>
      <c r="J20" s="11" t="inlineStr">
        <is>
          <t>T-013</t>
        </is>
      </c>
      <c r="K20" s="139">
        <f>IF(OR(F20="",H20="Complete"),"",F20-TODAY())</f>
        <v/>
      </c>
    </row>
    <row r="21">
      <c r="A21" s="5" t="inlineStr">
        <is>
          <t>Day 2-3</t>
        </is>
      </c>
      <c r="B21" s="6" t="inlineStr">
        <is>
          <t>T-019</t>
        </is>
      </c>
      <c r="C21" s="6" t="inlineStr">
        <is>
          <t>Training</t>
        </is>
      </c>
      <c r="D21" s="7" t="inlineStr">
        <is>
          <t>Begin role-specific virtual training modules</t>
        </is>
      </c>
      <c r="E21" s="6" t="inlineStr">
        <is>
          <t>Training Lead</t>
        </is>
      </c>
      <c r="F21" s="27" t="n">
        <v>46123</v>
      </c>
      <c r="G21" s="27" t="n">
        <v>46123</v>
      </c>
      <c r="H21" s="124" t="inlineStr">
        <is>
          <t>Complete</t>
        </is>
      </c>
      <c r="I21" s="140" t="inlineStr">
        <is>
          <t>High</t>
        </is>
      </c>
      <c r="J21" s="6" t="inlineStr">
        <is>
          <t>T-015</t>
        </is>
      </c>
      <c r="K21" s="138">
        <f>IF(OR(F21="",H21="Complete"),"",F21-TODAY())</f>
        <v/>
      </c>
    </row>
    <row r="22">
      <c r="A22" s="10" t="inlineStr">
        <is>
          <t>Day 2-3</t>
        </is>
      </c>
      <c r="B22" s="11" t="inlineStr">
        <is>
          <t>T-020</t>
        </is>
      </c>
      <c r="C22" s="11" t="inlineStr">
        <is>
          <t>Quality</t>
        </is>
      </c>
      <c r="D22" s="12" t="inlineStr">
        <is>
          <t>Establish QA monitoring schedule and rubrics</t>
        </is>
      </c>
      <c r="E22" s="11" t="inlineStr">
        <is>
          <t>QA Lead</t>
        </is>
      </c>
      <c r="F22" s="28" t="n">
        <v>46123</v>
      </c>
      <c r="G22" s="28" t="n">
        <v>46122</v>
      </c>
      <c r="H22" s="124" t="inlineStr">
        <is>
          <t>Complete</t>
        </is>
      </c>
      <c r="I22" s="140" t="inlineStr">
        <is>
          <t>High</t>
        </is>
      </c>
      <c r="J22" s="11" t="inlineStr"/>
      <c r="K22" s="139">
        <f>IF(OR(F22="",H22="Complete"),"",F22-TODAY())</f>
        <v/>
      </c>
    </row>
    <row r="23">
      <c r="A23" s="5" t="inlineStr">
        <is>
          <t>Day 4-7</t>
        </is>
      </c>
      <c r="B23" s="6" t="inlineStr">
        <is>
          <t>T-021</t>
        </is>
      </c>
      <c r="C23" s="6" t="inlineStr">
        <is>
          <t>Recruiting</t>
        </is>
      </c>
      <c r="D23" s="7" t="inlineStr">
        <is>
          <t>Extend offers to qualified Cohort 1 candidates</t>
        </is>
      </c>
      <c r="E23" s="6" t="inlineStr">
        <is>
          <t>Recruiting Lead</t>
        </is>
      </c>
      <c r="F23" s="27" t="n">
        <v>46125</v>
      </c>
      <c r="G23" s="27" t="n">
        <v>46124</v>
      </c>
      <c r="H23" s="124" t="inlineStr">
        <is>
          <t>Complete</t>
        </is>
      </c>
      <c r="I23" s="126" t="inlineStr">
        <is>
          <t>Critical</t>
        </is>
      </c>
      <c r="J23" s="6" t="inlineStr">
        <is>
          <t>T-016</t>
        </is>
      </c>
      <c r="K23" s="138">
        <f>IF(OR(F23="",H23="Complete"),"",F23-TODAY())</f>
        <v/>
      </c>
    </row>
    <row r="24">
      <c r="A24" s="10" t="inlineStr">
        <is>
          <t>Day 4-7</t>
        </is>
      </c>
      <c r="B24" s="11" t="inlineStr">
        <is>
          <t>T-022</t>
        </is>
      </c>
      <c r="C24" s="11" t="inlineStr">
        <is>
          <t>Security &amp; Compliance</t>
        </is>
      </c>
      <c r="D24" s="12" t="inlineStr">
        <is>
          <t>Schedule fingerprint appointments for all new hires</t>
        </is>
      </c>
      <c r="E24" s="11" t="inlineStr">
        <is>
          <t>FSO/Security</t>
        </is>
      </c>
      <c r="F24" s="28" t="n">
        <v>46125</v>
      </c>
      <c r="G24" s="28" t="n">
        <v>46125</v>
      </c>
      <c r="H24" s="124" t="inlineStr">
        <is>
          <t>Complete</t>
        </is>
      </c>
      <c r="I24" s="140" t="inlineStr">
        <is>
          <t>High</t>
        </is>
      </c>
      <c r="J24" s="11" t="inlineStr">
        <is>
          <t>T-017</t>
        </is>
      </c>
      <c r="K24" s="139">
        <f>IF(OR(F24="",H24="Complete"),"",F24-TODAY())</f>
        <v/>
      </c>
    </row>
    <row r="25">
      <c r="A25" s="5" t="inlineStr">
        <is>
          <t>Day 4-7</t>
        </is>
      </c>
      <c r="B25" s="6" t="inlineStr">
        <is>
          <t>T-023</t>
        </is>
      </c>
      <c r="C25" s="6" t="inlineStr">
        <is>
          <t>IT &amp; Equipment</t>
        </is>
      </c>
      <c r="D25" s="7" t="inlineStr">
        <is>
          <t>Confirm VPN connectivity for all deployed staff</t>
        </is>
      </c>
      <c r="E25" s="6" t="inlineStr">
        <is>
          <t>IT Lead</t>
        </is>
      </c>
      <c r="F25" s="27" t="n">
        <v>46126</v>
      </c>
      <c r="G25" s="27" t="n">
        <v>46126</v>
      </c>
      <c r="H25" s="124" t="inlineStr">
        <is>
          <t>Complete</t>
        </is>
      </c>
      <c r="I25" s="126" t="inlineStr">
        <is>
          <t>Critical</t>
        </is>
      </c>
      <c r="J25" s="6" t="inlineStr">
        <is>
          <t>T-008</t>
        </is>
      </c>
      <c r="K25" s="138">
        <f>IF(OR(F25="",H25="Complete"),"",F25-TODAY())</f>
        <v/>
      </c>
    </row>
    <row r="26">
      <c r="A26" s="10" t="inlineStr">
        <is>
          <t>Day 4-7</t>
        </is>
      </c>
      <c r="B26" s="11" t="inlineStr">
        <is>
          <t>T-024</t>
        </is>
      </c>
      <c r="C26" s="11" t="inlineStr">
        <is>
          <t>Training</t>
        </is>
      </c>
      <c r="D26" s="12" t="inlineStr">
        <is>
          <t>Administer training knowledge checks</t>
        </is>
      </c>
      <c r="E26" s="11" t="inlineStr">
        <is>
          <t>Training Lead</t>
        </is>
      </c>
      <c r="F26" s="28" t="n">
        <v>46126</v>
      </c>
      <c r="G26" s="28" t="n">
        <v>46126</v>
      </c>
      <c r="H26" s="124" t="inlineStr">
        <is>
          <t>Complete</t>
        </is>
      </c>
      <c r="I26" s="127" t="inlineStr">
        <is>
          <t>Medium</t>
        </is>
      </c>
      <c r="J26" s="11" t="inlineStr">
        <is>
          <t>T-019</t>
        </is>
      </c>
      <c r="K26" s="139">
        <f>IF(OR(F26="",H26="Complete"),"",F26-TODAY())</f>
        <v/>
      </c>
    </row>
    <row r="27">
      <c r="A27" s="5" t="inlineStr">
        <is>
          <t>Day 4-7</t>
        </is>
      </c>
      <c r="B27" s="6" t="inlineStr">
        <is>
          <t>T-025</t>
        </is>
      </c>
      <c r="C27" s="6" t="inlineStr">
        <is>
          <t>HR &amp; Onboarding</t>
        </is>
      </c>
      <c r="D27" s="7" t="inlineStr">
        <is>
          <t>Complete I-9 verification for all new hires</t>
        </is>
      </c>
      <c r="E27" s="6" t="inlineStr">
        <is>
          <t>HR Manager</t>
        </is>
      </c>
      <c r="F27" s="27" t="n">
        <v>46126</v>
      </c>
      <c r="G27" s="27" t="n">
        <v>46125</v>
      </c>
      <c r="H27" s="124" t="inlineStr">
        <is>
          <t>Complete</t>
        </is>
      </c>
      <c r="I27" s="126" t="inlineStr">
        <is>
          <t>Critical</t>
        </is>
      </c>
      <c r="J27" s="6" t="inlineStr"/>
      <c r="K27" s="138">
        <f>IF(OR(F27="",H27="Complete"),"",F27-TODAY())</f>
        <v/>
      </c>
    </row>
    <row r="28">
      <c r="A28" s="10" t="inlineStr">
        <is>
          <t>Day 4-7</t>
        </is>
      </c>
      <c r="B28" s="11" t="inlineStr">
        <is>
          <t>T-026</t>
        </is>
      </c>
      <c r="C28" s="11" t="inlineStr">
        <is>
          <t>Quality</t>
        </is>
      </c>
      <c r="D28" s="12" t="inlineStr">
        <is>
          <t>Conduct first round of live QA monitoring</t>
        </is>
      </c>
      <c r="E28" s="11" t="inlineStr">
        <is>
          <t>QA Lead</t>
        </is>
      </c>
      <c r="F28" s="28" t="n">
        <v>46127</v>
      </c>
      <c r="G28" s="28" t="n">
        <v>46127</v>
      </c>
      <c r="H28" s="124" t="inlineStr">
        <is>
          <t>Complete</t>
        </is>
      </c>
      <c r="I28" s="140" t="inlineStr">
        <is>
          <t>High</t>
        </is>
      </c>
      <c r="J28" s="11" t="inlineStr">
        <is>
          <t>T-020</t>
        </is>
      </c>
      <c r="K28" s="139">
        <f>IF(OR(F28="",H28="Complete"),"",F28-TODAY())</f>
        <v/>
      </c>
    </row>
    <row r="29">
      <c r="A29" s="5" t="inlineStr">
        <is>
          <t>Day 4-7</t>
        </is>
      </c>
      <c r="B29" s="6" t="inlineStr">
        <is>
          <t>T-027</t>
        </is>
      </c>
      <c r="C29" s="6" t="inlineStr">
        <is>
          <t>Workforce Planning</t>
        </is>
      </c>
      <c r="D29" s="7" t="inlineStr">
        <is>
          <t>Review ramp progress against staffing plan</t>
        </is>
      </c>
      <c r="E29" s="6" t="inlineStr">
        <is>
          <t>Program Manager</t>
        </is>
      </c>
      <c r="F29" s="27" t="n">
        <v>46127</v>
      </c>
      <c r="G29" s="27" t="n">
        <v>46127</v>
      </c>
      <c r="H29" s="124" t="inlineStr">
        <is>
          <t>Complete</t>
        </is>
      </c>
      <c r="I29" s="140" t="inlineStr">
        <is>
          <t>High</t>
        </is>
      </c>
      <c r="J29" s="6" t="inlineStr"/>
      <c r="K29" s="138">
        <f>IF(OR(F29="",H29="Complete"),"",F29-TODAY())</f>
        <v/>
      </c>
    </row>
    <row r="30">
      <c r="A30" s="10" t="inlineStr">
        <is>
          <t>Week 2</t>
        </is>
      </c>
      <c r="B30" s="11" t="inlineStr">
        <is>
          <t>T-028</t>
        </is>
      </c>
      <c r="C30" s="11" t="inlineStr">
        <is>
          <t>Recruiting</t>
        </is>
      </c>
      <c r="D30" s="12" t="inlineStr">
        <is>
          <t>Source and screen Cohort 2 candidates</t>
        </is>
      </c>
      <c r="E30" s="11" t="inlineStr">
        <is>
          <t>Recruiting Lead</t>
        </is>
      </c>
      <c r="F30" s="28" t="n">
        <v>46129</v>
      </c>
      <c r="G30" s="28" t="n">
        <v>46129</v>
      </c>
      <c r="H30" s="124" t="inlineStr">
        <is>
          <t>Complete</t>
        </is>
      </c>
      <c r="I30" s="140" t="inlineStr">
        <is>
          <t>High</t>
        </is>
      </c>
      <c r="J30" s="11" t="inlineStr"/>
      <c r="K30" s="139">
        <f>IF(OR(F30="",H30="Complete"),"",F30-TODAY())</f>
        <v/>
      </c>
    </row>
    <row r="31">
      <c r="A31" s="5" t="inlineStr">
        <is>
          <t>Week 2</t>
        </is>
      </c>
      <c r="B31" s="6" t="inlineStr">
        <is>
          <t>T-029</t>
        </is>
      </c>
      <c r="C31" s="6" t="inlineStr">
        <is>
          <t>Security &amp; Compliance</t>
        </is>
      </c>
      <c r="D31" s="7" t="inlineStr">
        <is>
          <t>Submit interim clearance requests for priority roles</t>
        </is>
      </c>
      <c r="E31" s="6" t="inlineStr">
        <is>
          <t>FSO/Security</t>
        </is>
      </c>
      <c r="F31" s="27" t="n">
        <v>46129</v>
      </c>
      <c r="G31" s="27" t="n">
        <v>46129</v>
      </c>
      <c r="H31" s="124" t="inlineStr">
        <is>
          <t>Complete</t>
        </is>
      </c>
      <c r="I31" s="126" t="inlineStr">
        <is>
          <t>Critical</t>
        </is>
      </c>
      <c r="J31" s="6" t="inlineStr">
        <is>
          <t>T-012</t>
        </is>
      </c>
      <c r="K31" s="138">
        <f>IF(OR(F31="",H31="Complete"),"",F31-TODAY())</f>
        <v/>
      </c>
    </row>
    <row r="32">
      <c r="A32" s="10" t="inlineStr">
        <is>
          <t>Week 2</t>
        </is>
      </c>
      <c r="B32" s="11" t="inlineStr">
        <is>
          <t>T-030</t>
        </is>
      </c>
      <c r="C32" s="11" t="inlineStr">
        <is>
          <t>IT &amp; Equipment</t>
        </is>
      </c>
      <c r="D32" s="12" t="inlineStr">
        <is>
          <t>Order equipment for Cohort 2 (15 units)</t>
        </is>
      </c>
      <c r="E32" s="11" t="inlineStr">
        <is>
          <t>IT Lead</t>
        </is>
      </c>
      <c r="F32" s="28" t="n">
        <v>46130</v>
      </c>
      <c r="G32" s="28" t="n">
        <v>46130</v>
      </c>
      <c r="H32" s="124" t="inlineStr">
        <is>
          <t>Complete</t>
        </is>
      </c>
      <c r="I32" s="140" t="inlineStr">
        <is>
          <t>High</t>
        </is>
      </c>
      <c r="J32" s="11" t="inlineStr"/>
      <c r="K32" s="139">
        <f>IF(OR(F32="",H32="Complete"),"",F32-TODAY())</f>
        <v/>
      </c>
    </row>
    <row r="33">
      <c r="A33" s="5" t="inlineStr">
        <is>
          <t>Week 2</t>
        </is>
      </c>
      <c r="B33" s="6" t="inlineStr">
        <is>
          <t>T-031</t>
        </is>
      </c>
      <c r="C33" s="6" t="inlineStr">
        <is>
          <t>Training</t>
        </is>
      </c>
      <c r="D33" s="7" t="inlineStr">
        <is>
          <t>Transition Cohort 1 from training to nesting</t>
        </is>
      </c>
      <c r="E33" s="6" t="inlineStr">
        <is>
          <t>Training Lead</t>
        </is>
      </c>
      <c r="F33" s="27" t="n">
        <v>46130</v>
      </c>
      <c r="G33" s="27" t="n">
        <v>46130</v>
      </c>
      <c r="H33" s="124" t="inlineStr">
        <is>
          <t>Complete</t>
        </is>
      </c>
      <c r="I33" s="140" t="inlineStr">
        <is>
          <t>High</t>
        </is>
      </c>
      <c r="J33" s="6" t="inlineStr">
        <is>
          <t>T-024</t>
        </is>
      </c>
      <c r="K33" s="138">
        <f>IF(OR(F33="",H33="Complete"),"",F33-TODAY())</f>
        <v/>
      </c>
    </row>
    <row r="34">
      <c r="A34" s="10" t="inlineStr">
        <is>
          <t>Week 2</t>
        </is>
      </c>
      <c r="B34" s="11" t="inlineStr">
        <is>
          <t>T-032</t>
        </is>
      </c>
      <c r="C34" s="11" t="inlineStr">
        <is>
          <t>HR &amp; Onboarding</t>
        </is>
      </c>
      <c r="D34" s="12" t="inlineStr">
        <is>
          <t>Conduct 7-day check-in surveys for Cohort 1</t>
        </is>
      </c>
      <c r="E34" s="11" t="inlineStr">
        <is>
          <t>HR Manager</t>
        </is>
      </c>
      <c r="F34" s="28" t="n">
        <v>46131</v>
      </c>
      <c r="G34" s="28" t="n">
        <v>46131</v>
      </c>
      <c r="H34" s="124" t="inlineStr">
        <is>
          <t>Complete</t>
        </is>
      </c>
      <c r="I34" s="127" t="inlineStr">
        <is>
          <t>Medium</t>
        </is>
      </c>
      <c r="J34" s="11" t="inlineStr"/>
      <c r="K34" s="139">
        <f>IF(OR(F34="",H34="Complete"),"",F34-TODAY())</f>
        <v/>
      </c>
    </row>
    <row r="35">
      <c r="A35" s="5" t="inlineStr">
        <is>
          <t>Week 2</t>
        </is>
      </c>
      <c r="B35" s="6" t="inlineStr">
        <is>
          <t>T-033</t>
        </is>
      </c>
      <c r="C35" s="6" t="inlineStr">
        <is>
          <t>Quality</t>
        </is>
      </c>
      <c r="D35" s="7" t="inlineStr">
        <is>
          <t>Calibrate QA scoring across evaluators</t>
        </is>
      </c>
      <c r="E35" s="6" t="inlineStr">
        <is>
          <t>QA Lead</t>
        </is>
      </c>
      <c r="F35" s="27" t="n">
        <v>46131</v>
      </c>
      <c r="G35" s="27" t="n"/>
      <c r="H35" s="127" t="inlineStr">
        <is>
          <t>In Progress</t>
        </is>
      </c>
      <c r="I35" s="140" t="inlineStr">
        <is>
          <t>High</t>
        </is>
      </c>
      <c r="J35" s="6" t="inlineStr">
        <is>
          <t>T-026</t>
        </is>
      </c>
      <c r="K35" s="138">
        <f>IF(OR(F35="",H35="Complete"),"",F35-TODAY())</f>
        <v/>
      </c>
    </row>
    <row r="36">
      <c r="A36" s="10" t="inlineStr">
        <is>
          <t>Week 2</t>
        </is>
      </c>
      <c r="B36" s="11" t="inlineStr">
        <is>
          <t>T-034</t>
        </is>
      </c>
      <c r="C36" s="11" t="inlineStr">
        <is>
          <t>Workforce Planning</t>
        </is>
      </c>
      <c r="D36" s="12" t="inlineStr">
        <is>
          <t>Update attrition risk assessment</t>
        </is>
      </c>
      <c r="E36" s="11" t="inlineStr">
        <is>
          <t>Program Manager</t>
        </is>
      </c>
      <c r="F36" s="28" t="n">
        <v>46132</v>
      </c>
      <c r="G36" s="28" t="n"/>
      <c r="H36" s="127" t="inlineStr">
        <is>
          <t>In Progress</t>
        </is>
      </c>
      <c r="I36" s="127" t="inlineStr">
        <is>
          <t>Medium</t>
        </is>
      </c>
      <c r="J36" s="11" t="inlineStr"/>
      <c r="K36" s="139">
        <f>IF(OR(F36="",H36="Complete"),"",F36-TODAY())</f>
        <v/>
      </c>
    </row>
    <row r="37">
      <c r="A37" s="5" t="inlineStr">
        <is>
          <t>Week 3-4</t>
        </is>
      </c>
      <c r="B37" s="6" t="inlineStr">
        <is>
          <t>T-035</t>
        </is>
      </c>
      <c r="C37" s="6" t="inlineStr">
        <is>
          <t>Recruiting</t>
        </is>
      </c>
      <c r="D37" s="7" t="inlineStr">
        <is>
          <t>Complete interviews and offers for Cohort 2</t>
        </is>
      </c>
      <c r="E37" s="6" t="inlineStr">
        <is>
          <t>Recruiting Lead</t>
        </is>
      </c>
      <c r="F37" s="27" t="n">
        <v>46136</v>
      </c>
      <c r="G37" s="27" t="n"/>
      <c r="H37" s="127" t="inlineStr">
        <is>
          <t>In Progress</t>
        </is>
      </c>
      <c r="I37" s="140" t="inlineStr">
        <is>
          <t>High</t>
        </is>
      </c>
      <c r="J37" s="6" t="inlineStr">
        <is>
          <t>T-028</t>
        </is>
      </c>
      <c r="K37" s="138">
        <f>IF(OR(F37="",H37="Complete"),"",F37-TODAY())</f>
        <v/>
      </c>
    </row>
    <row r="38">
      <c r="A38" s="10" t="inlineStr">
        <is>
          <t>Week 3-4</t>
        </is>
      </c>
      <c r="B38" s="11" t="inlineStr">
        <is>
          <t>T-036</t>
        </is>
      </c>
      <c r="C38" s="11" t="inlineStr">
        <is>
          <t>Security &amp; Compliance</t>
        </is>
      </c>
      <c r="D38" s="12" t="inlineStr">
        <is>
          <t>Track eQIP submission compliance — target 100%</t>
        </is>
      </c>
      <c r="E38" s="11" t="inlineStr">
        <is>
          <t>FSO/Security</t>
        </is>
      </c>
      <c r="F38" s="28" t="n">
        <v>46136</v>
      </c>
      <c r="G38" s="28" t="n"/>
      <c r="H38" s="127" t="inlineStr">
        <is>
          <t>In Progress</t>
        </is>
      </c>
      <c r="I38" s="126" t="inlineStr">
        <is>
          <t>Critical</t>
        </is>
      </c>
      <c r="J38" s="11" t="inlineStr">
        <is>
          <t>T-029</t>
        </is>
      </c>
      <c r="K38" s="139">
        <f>IF(OR(F38="",H38="Complete"),"",F38-TODAY())</f>
        <v/>
      </c>
    </row>
    <row r="39">
      <c r="A39" s="5" t="inlineStr">
        <is>
          <t>Week 3-4</t>
        </is>
      </c>
      <c r="B39" s="6" t="inlineStr">
        <is>
          <t>T-037</t>
        </is>
      </c>
      <c r="C39" s="6" t="inlineStr">
        <is>
          <t>IT &amp; Equipment</t>
        </is>
      </c>
      <c r="D39" s="7" t="inlineStr">
        <is>
          <t>Ship and verify equipment for Cohort 2</t>
        </is>
      </c>
      <c r="E39" s="6" t="inlineStr">
        <is>
          <t>IT Lead</t>
        </is>
      </c>
      <c r="F39" s="27" t="n">
        <v>46137</v>
      </c>
      <c r="G39" s="27" t="n"/>
      <c r="H39" s="141" t="inlineStr">
        <is>
          <t>Not Started</t>
        </is>
      </c>
      <c r="I39" s="140" t="inlineStr">
        <is>
          <t>High</t>
        </is>
      </c>
      <c r="J39" s="6" t="inlineStr">
        <is>
          <t>T-030</t>
        </is>
      </c>
      <c r="K39" s="138">
        <f>IF(OR(F39="",H39="Complete"),"",F39-TODAY())</f>
        <v/>
      </c>
    </row>
    <row r="40">
      <c r="A40" s="10" t="inlineStr">
        <is>
          <t>Week 3-4</t>
        </is>
      </c>
      <c r="B40" s="11" t="inlineStr">
        <is>
          <t>T-038</t>
        </is>
      </c>
      <c r="C40" s="11" t="inlineStr">
        <is>
          <t>Training</t>
        </is>
      </c>
      <c r="D40" s="12" t="inlineStr">
        <is>
          <t>Begin Cohort 2 virtual training</t>
        </is>
      </c>
      <c r="E40" s="11" t="inlineStr">
        <is>
          <t>Training Lead</t>
        </is>
      </c>
      <c r="F40" s="28" t="n">
        <v>46137</v>
      </c>
      <c r="G40" s="28" t="n"/>
      <c r="H40" s="141" t="inlineStr">
        <is>
          <t>Not Started</t>
        </is>
      </c>
      <c r="I40" s="140" t="inlineStr">
        <is>
          <t>High</t>
        </is>
      </c>
      <c r="J40" s="11" t="inlineStr">
        <is>
          <t>T-035</t>
        </is>
      </c>
      <c r="K40" s="139">
        <f>IF(OR(F40="",H40="Complete"),"",F40-TODAY())</f>
        <v/>
      </c>
    </row>
    <row r="41">
      <c r="A41" s="5" t="inlineStr">
        <is>
          <t>Week 3-4</t>
        </is>
      </c>
      <c r="B41" s="6" t="inlineStr">
        <is>
          <t>T-039</t>
        </is>
      </c>
      <c r="C41" s="6" t="inlineStr">
        <is>
          <t>HR &amp; Onboarding</t>
        </is>
      </c>
      <c r="D41" s="7" t="inlineStr">
        <is>
          <t>Conduct 30-day check-ins for Cohort 1</t>
        </is>
      </c>
      <c r="E41" s="6" t="inlineStr">
        <is>
          <t>HR Manager</t>
        </is>
      </c>
      <c r="F41" s="27" t="n">
        <v>46143</v>
      </c>
      <c r="G41" s="27" t="n"/>
      <c r="H41" s="141" t="inlineStr">
        <is>
          <t>Not Started</t>
        </is>
      </c>
      <c r="I41" s="127" t="inlineStr">
        <is>
          <t>Medium</t>
        </is>
      </c>
      <c r="J41" s="6" t="inlineStr"/>
      <c r="K41" s="138">
        <f>IF(OR(F41="",H41="Complete"),"",F41-TODAY())</f>
        <v/>
      </c>
    </row>
    <row r="42">
      <c r="A42" s="10" t="inlineStr">
        <is>
          <t>Week 3-4</t>
        </is>
      </c>
      <c r="B42" s="11" t="inlineStr">
        <is>
          <t>T-040</t>
        </is>
      </c>
      <c r="C42" s="11" t="inlineStr">
        <is>
          <t>Quality</t>
        </is>
      </c>
      <c r="D42" s="12" t="inlineStr">
        <is>
          <t>Publish first QA trend report to leadership</t>
        </is>
      </c>
      <c r="E42" s="11" t="inlineStr">
        <is>
          <t>QA Lead</t>
        </is>
      </c>
      <c r="F42" s="28" t="n">
        <v>46143</v>
      </c>
      <c r="G42" s="28" t="n"/>
      <c r="H42" s="141" t="inlineStr">
        <is>
          <t>Not Started</t>
        </is>
      </c>
      <c r="I42" s="140" t="inlineStr">
        <is>
          <t>High</t>
        </is>
      </c>
      <c r="J42" s="11" t="inlineStr">
        <is>
          <t>T-033</t>
        </is>
      </c>
      <c r="K42" s="139">
        <f>IF(OR(F42="",H42="Complete"),"",F42-TODAY())</f>
        <v/>
      </c>
    </row>
    <row r="43">
      <c r="A43" s="5" t="inlineStr">
        <is>
          <t>Week 3-4</t>
        </is>
      </c>
      <c r="B43" s="6" t="inlineStr">
        <is>
          <t>T-041</t>
        </is>
      </c>
      <c r="C43" s="6" t="inlineStr">
        <is>
          <t>Workforce Planning</t>
        </is>
      </c>
      <c r="D43" s="7" t="inlineStr">
        <is>
          <t>Prepare surge progress briefing for COR</t>
        </is>
      </c>
      <c r="E43" s="6" t="inlineStr">
        <is>
          <t>Program Manager</t>
        </is>
      </c>
      <c r="F43" s="27" t="n">
        <v>46144</v>
      </c>
      <c r="G43" s="27" t="n"/>
      <c r="H43" s="141" t="inlineStr">
        <is>
          <t>Not Started</t>
        </is>
      </c>
      <c r="I43" s="126" t="inlineStr">
        <is>
          <t>Critical</t>
        </is>
      </c>
      <c r="J43" s="6" t="inlineStr">
        <is>
          <t>T-034</t>
        </is>
      </c>
      <c r="K43" s="138">
        <f>IF(OR(F43="",H43="Complete"),"",F43-TODAY())</f>
        <v/>
      </c>
    </row>
    <row r="44">
      <c r="A44" s="10" t="inlineStr">
        <is>
          <t>Week 3-4</t>
        </is>
      </c>
      <c r="B44" s="11" t="inlineStr">
        <is>
          <t>T-042</t>
        </is>
      </c>
      <c r="C44" s="11" t="inlineStr">
        <is>
          <t>Security &amp; Compliance</t>
        </is>
      </c>
      <c r="D44" s="12" t="inlineStr">
        <is>
          <t>Conduct CUI handling spot checks for remote staff</t>
        </is>
      </c>
      <c r="E44" s="11" t="inlineStr">
        <is>
          <t>FSO/Security</t>
        </is>
      </c>
      <c r="F44" s="28" t="n">
        <v>46145</v>
      </c>
      <c r="G44" s="28" t="n"/>
      <c r="H44" s="141" t="inlineStr">
        <is>
          <t>Not Started</t>
        </is>
      </c>
      <c r="I44" s="140" t="inlineStr">
        <is>
          <t>High</t>
        </is>
      </c>
      <c r="J44" s="11" t="inlineStr"/>
      <c r="K44" s="139">
        <f>IF(OR(F44="",H44="Complete"),"",F44-TODAY())</f>
        <v/>
      </c>
    </row>
    <row r="45">
      <c r="A45" s="5" t="inlineStr">
        <is>
          <t>Week 3-4</t>
        </is>
      </c>
      <c r="B45" s="6" t="inlineStr">
        <is>
          <t>T-043</t>
        </is>
      </c>
      <c r="C45" s="6" t="inlineStr">
        <is>
          <t>IT &amp; Equipment</t>
        </is>
      </c>
      <c r="D45" s="7" t="inlineStr">
        <is>
          <t>Audit endpoint protection compliance across fleet</t>
        </is>
      </c>
      <c r="E45" s="6" t="inlineStr">
        <is>
          <t>IT Lead</t>
        </is>
      </c>
      <c r="F45" s="27" t="n">
        <v>46145</v>
      </c>
      <c r="G45" s="27" t="n"/>
      <c r="H45" s="141" t="inlineStr">
        <is>
          <t>Not Started</t>
        </is>
      </c>
      <c r="I45" s="127" t="inlineStr">
        <is>
          <t>Medium</t>
        </is>
      </c>
      <c r="J45" s="6" t="inlineStr"/>
      <c r="K45" s="138">
        <f>IF(OR(F45="",H45="Complete"),"",F45-TODAY())</f>
        <v/>
      </c>
    </row>
    <row r="46">
      <c r="A46" s="10" t="inlineStr">
        <is>
          <t>Week 3-4</t>
        </is>
      </c>
      <c r="B46" s="11" t="inlineStr">
        <is>
          <t>T-044</t>
        </is>
      </c>
      <c r="C46" s="11" t="inlineStr">
        <is>
          <t>Quality</t>
        </is>
      </c>
      <c r="D46" s="12" t="inlineStr">
        <is>
          <t>Implement coaching plans for below-threshold performers</t>
        </is>
      </c>
      <c r="E46" s="11" t="inlineStr">
        <is>
          <t>QA Lead</t>
        </is>
      </c>
      <c r="F46" s="28" t="n">
        <v>46146</v>
      </c>
      <c r="G46" s="28" t="n"/>
      <c r="H46" s="141" t="inlineStr">
        <is>
          <t>Not Started</t>
        </is>
      </c>
      <c r="I46" s="140" t="inlineStr">
        <is>
          <t>High</t>
        </is>
      </c>
      <c r="J46" s="11" t="inlineStr">
        <is>
          <t>T-040</t>
        </is>
      </c>
      <c r="K46" s="139">
        <f>IF(OR(F46="",H46="Complete"),"",F46-TODAY())</f>
        <v/>
      </c>
    </row>
    <row r="47">
      <c r="A47" s="15" t="inlineStr">
        <is>
          <t>Week 3-4</t>
        </is>
      </c>
      <c r="B47" s="16" t="inlineStr">
        <is>
          <t>T-045</t>
        </is>
      </c>
      <c r="C47" s="16" t="inlineStr">
        <is>
          <t>HR &amp; Onboarding</t>
        </is>
      </c>
      <c r="D47" s="17" t="inlineStr">
        <is>
          <t>Process multi-state tax withholding registrations</t>
        </is>
      </c>
      <c r="E47" s="16" t="inlineStr">
        <is>
          <t>HR Manager</t>
        </is>
      </c>
      <c r="F47" s="29" t="n">
        <v>46147</v>
      </c>
      <c r="G47" s="29" t="n"/>
      <c r="H47" s="142" t="inlineStr">
        <is>
          <t>Not Started</t>
        </is>
      </c>
      <c r="I47" s="130" t="inlineStr">
        <is>
          <t>Medium</t>
        </is>
      </c>
      <c r="J47" s="16" t="inlineStr"/>
      <c r="K47" s="143">
        <f>IF(OR(F47="",H47="Complete"),"",F47-TODAY())</f>
        <v/>
      </c>
    </row>
  </sheetData>
  <mergeCells count="1">
    <mergeCell ref="A1:K1"/>
  </mergeCells>
  <dataValidations count="3">
    <dataValidation sqref="H3:H47" showDropDown="0" showInputMessage="0" showErrorMessage="0" allowBlank="1" type="list">
      <formula1>"Not Started,In Progress,Complete,Overdue,Blocked"</formula1>
    </dataValidation>
    <dataValidation sqref="I3:I47" showDropDown="0" showInputMessage="0" showErrorMessage="0" allowBlank="1" type="list">
      <formula1>"Critical,High,Medium,Low"</formula1>
    </dataValidation>
    <dataValidation sqref="E3:E47" showDropDown="0" showInputMessage="0" showErrorMessage="1" allowBlank="1" error="Select an owner" type="list">
      <formula1>"Program Manager,HR Manager,IT Lead,QA Lead,Training Lead,Supervisor"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2" customWidth="1" min="5" max="5"/>
    <col width="16" customWidth="1" min="6" max="6"/>
    <col width="13" customWidth="1" min="7" max="7"/>
    <col width="14" customWidth="1" min="8" max="8"/>
    <col width="11" customWidth="1" min="9" max="9"/>
    <col width="14" customWidth="1" min="10" max="10"/>
    <col width="13" customWidth="1" min="11" max="11"/>
    <col width="13" customWidth="1" min="12" max="12"/>
    <col width="14" customWidth="1" min="13" max="13"/>
    <col width="12" customWidth="1" min="14" max="14"/>
    <col width="13" customWidth="1" min="15" max="15"/>
    <col width="15" customWidth="1" min="16" max="16"/>
    <col width="11" customWidth="1" min="17" max="17"/>
    <col width="13" customWidth="1" min="18" max="18"/>
    <col width="13" customWidth="1" min="19" max="19"/>
    <col width="16" customWidth="1" min="20" max="20"/>
    <col width="12" customWidth="1" min="21" max="21"/>
    <col width="11" customWidth="1" min="22" max="22"/>
    <col width="14" customWidth="1" min="23" max="23"/>
    <col width="15" customWidth="1" min="24" max="24"/>
    <col width="18" customWidth="1" min="25" max="25"/>
    <col width="15" customWidth="1" min="26" max="26"/>
  </cols>
  <sheetData>
    <row r="1" ht="30" customHeight="1">
      <c r="A1" s="1" t="inlineStr">
        <is>
          <t>CANDIDATE PIPELINE</t>
        </is>
      </c>
    </row>
    <row r="2" ht="35" customHeight="1">
      <c r="A2" s="2" t="inlineStr">
        <is>
          <t>Candidate ID</t>
        </is>
      </c>
      <c r="B2" s="3" t="inlineStr">
        <is>
          <t>First Name</t>
        </is>
      </c>
      <c r="C2" s="3" t="inlineStr">
        <is>
          <t>Last Name</t>
        </is>
      </c>
      <c r="D2" s="3" t="inlineStr">
        <is>
          <t>Source</t>
        </is>
      </c>
      <c r="E2" s="3" t="inlineStr">
        <is>
          <t>Date Sourced</t>
        </is>
      </c>
      <c r="F2" s="3" t="inlineStr">
        <is>
          <t>Position Title</t>
        </is>
      </c>
      <c r="G2" s="3" t="inlineStr">
        <is>
          <t>Labor Category</t>
        </is>
      </c>
      <c r="H2" s="3" t="inlineStr">
        <is>
          <t>Clearance Required</t>
        </is>
      </c>
      <c r="I2" s="3" t="inlineStr">
        <is>
          <t>Recruiter</t>
        </is>
      </c>
      <c r="J2" s="3" t="inlineStr">
        <is>
          <t>Phone Screen Date</t>
        </is>
      </c>
      <c r="K2" s="3" t="inlineStr">
        <is>
          <t>Phone Screen Result</t>
        </is>
      </c>
      <c r="L2" s="3" t="inlineStr">
        <is>
          <t>Interview Date</t>
        </is>
      </c>
      <c r="M2" s="3" t="inlineStr">
        <is>
          <t>Interviewer(s)</t>
        </is>
      </c>
      <c r="N2" s="3" t="inlineStr">
        <is>
          <t>Interview Score</t>
        </is>
      </c>
      <c r="O2" s="3" t="inlineStr">
        <is>
          <t>Interview Result</t>
        </is>
      </c>
      <c r="P2" s="3" t="inlineStr">
        <is>
          <t>Offer Extended Date</t>
        </is>
      </c>
      <c r="Q2" s="3" t="inlineStr">
        <is>
          <t>Offer Amount</t>
        </is>
      </c>
      <c r="R2" s="3" t="inlineStr">
        <is>
          <t>Offer Accepted</t>
        </is>
      </c>
      <c r="S2" s="3" t="inlineStr">
        <is>
          <t>Offer Accept Date</t>
        </is>
      </c>
      <c r="T2" s="3" t="inlineStr">
        <is>
          <t>Background Check Status</t>
        </is>
      </c>
      <c r="U2" s="3" t="inlineStr">
        <is>
          <t>Drug Test Status</t>
        </is>
      </c>
      <c r="V2" s="3" t="inlineStr">
        <is>
          <t>Start Date</t>
        </is>
      </c>
      <c r="W2" s="3" t="inlineStr">
        <is>
          <t>Pipeline Stage</t>
        </is>
      </c>
      <c r="X2" s="3" t="inlineStr">
        <is>
          <t>Days in Current Stage</t>
        </is>
      </c>
      <c r="Y2" s="3" t="inlineStr">
        <is>
          <t>Withdrawal Reason</t>
        </is>
      </c>
      <c r="Z2" s="4" t="inlineStr">
        <is>
          <t>Notes</t>
        </is>
      </c>
    </row>
    <row r="3">
      <c r="A3" s="5" t="inlineStr">
        <is>
          <t>C-001</t>
        </is>
      </c>
      <c r="B3" s="6" t="inlineStr">
        <is>
          <t>Maria</t>
        </is>
      </c>
      <c r="C3" s="6" t="inlineStr">
        <is>
          <t>Santos</t>
        </is>
      </c>
      <c r="D3" s="6" t="inlineStr">
        <is>
          <t>Job Board</t>
        </is>
      </c>
      <c r="E3" s="27" t="n">
        <v>46106</v>
      </c>
      <c r="F3" s="6" t="inlineStr">
        <is>
          <t>Case Analyst</t>
        </is>
      </c>
      <c r="G3" s="6" t="inlineStr">
        <is>
          <t>Analyst</t>
        </is>
      </c>
      <c r="H3" s="6" t="inlineStr">
        <is>
          <t>Public Trust</t>
        </is>
      </c>
      <c r="I3" s="6" t="inlineStr">
        <is>
          <t>J. Rivera</t>
        </is>
      </c>
      <c r="J3" s="27" t="n">
        <v>46108</v>
      </c>
      <c r="K3" s="6" t="inlineStr">
        <is>
          <t>Pass</t>
        </is>
      </c>
      <c r="L3" s="27" t="n">
        <v>46111</v>
      </c>
      <c r="M3" s="6" t="inlineStr">
        <is>
          <t>T. Washington</t>
        </is>
      </c>
      <c r="N3" s="6" t="n">
        <v>4.2</v>
      </c>
      <c r="O3" s="6" t="inlineStr">
        <is>
          <t>Pass</t>
        </is>
      </c>
      <c r="P3" s="27" t="n">
        <v>46114</v>
      </c>
      <c r="Q3" s="30" t="n">
        <v>72000</v>
      </c>
      <c r="R3" s="6" t="inlineStr">
        <is>
          <t>Y</t>
        </is>
      </c>
      <c r="S3" s="27" t="n">
        <v>46115</v>
      </c>
      <c r="T3" s="6" t="inlineStr">
        <is>
          <t>Clear</t>
        </is>
      </c>
      <c r="U3" s="6" t="inlineStr">
        <is>
          <t>Pass</t>
        </is>
      </c>
      <c r="V3" s="27" t="n">
        <v>46121</v>
      </c>
      <c r="W3" s="124" t="inlineStr">
        <is>
          <t>Deployed</t>
        </is>
      </c>
      <c r="X3" s="46">
        <f>IF(V3&lt;&gt;"",TODAY()-V3,IF(S3&lt;&gt;"",TODAY()-S3,IF(P3&lt;&gt;"",TODAY()-P3,IF(L3&lt;&gt;"",TODAY()-L3,IF(J3&lt;&gt;"",TODAY()-J3,IF(E3&lt;&gt;"",TODAY()-E3,""))))))</f>
        <v/>
      </c>
      <c r="Y3" s="6" t="inlineStr"/>
      <c r="Z3" s="9" t="inlineStr"/>
    </row>
    <row r="4">
      <c r="A4" s="10" t="inlineStr">
        <is>
          <t>C-002</t>
        </is>
      </c>
      <c r="B4" s="11" t="inlineStr">
        <is>
          <t>James</t>
        </is>
      </c>
      <c r="C4" s="11" t="inlineStr">
        <is>
          <t>Mitchell</t>
        </is>
      </c>
      <c r="D4" s="11" t="inlineStr">
        <is>
          <t>Referral</t>
        </is>
      </c>
      <c r="E4" s="28" t="n">
        <v>46107</v>
      </c>
      <c r="F4" s="11" t="inlineStr">
        <is>
          <t>Program Support</t>
        </is>
      </c>
      <c r="G4" s="11" t="inlineStr">
        <is>
          <t>Admin</t>
        </is>
      </c>
      <c r="H4" s="11" t="inlineStr">
        <is>
          <t>Public Trust</t>
        </is>
      </c>
      <c r="I4" s="11" t="inlineStr">
        <is>
          <t>S. Patel</t>
        </is>
      </c>
      <c r="J4" s="28" t="n">
        <v>46109</v>
      </c>
      <c r="K4" s="11" t="inlineStr">
        <is>
          <t>Pass</t>
        </is>
      </c>
      <c r="L4" s="28" t="n">
        <v>46112</v>
      </c>
      <c r="M4" s="11" t="inlineStr">
        <is>
          <t>L. Chen</t>
        </is>
      </c>
      <c r="N4" s="11" t="n">
        <v>3.8</v>
      </c>
      <c r="O4" s="11" t="inlineStr">
        <is>
          <t>Pass</t>
        </is>
      </c>
      <c r="P4" s="28" t="n">
        <v>46115</v>
      </c>
      <c r="Q4" s="31" t="n">
        <v>65000</v>
      </c>
      <c r="R4" s="11" t="inlineStr">
        <is>
          <t>Y</t>
        </is>
      </c>
      <c r="S4" s="28" t="n">
        <v>46116</v>
      </c>
      <c r="T4" s="11" t="inlineStr">
        <is>
          <t>Clear</t>
        </is>
      </c>
      <c r="U4" s="11" t="inlineStr">
        <is>
          <t>Pass</t>
        </is>
      </c>
      <c r="V4" s="28" t="n">
        <v>46122</v>
      </c>
      <c r="W4" s="124" t="inlineStr">
        <is>
          <t>Deployed</t>
        </is>
      </c>
      <c r="X4" s="47">
        <f>IF(V4&lt;&gt;"",TODAY()-V4,IF(S4&lt;&gt;"",TODAY()-S4,IF(P4&lt;&gt;"",TODAY()-P4,IF(L4&lt;&gt;"",TODAY()-L4,IF(J4&lt;&gt;"",TODAY()-J4,IF(E4&lt;&gt;"",TODAY()-E4,""))))))</f>
        <v/>
      </c>
      <c r="Y4" s="11" t="inlineStr"/>
      <c r="Z4" s="14" t="inlineStr"/>
    </row>
    <row r="5">
      <c r="A5" s="5" t="inlineStr">
        <is>
          <t>C-003</t>
        </is>
      </c>
      <c r="B5" s="6" t="inlineStr">
        <is>
          <t>Aisha</t>
        </is>
      </c>
      <c r="C5" s="6" t="inlineStr">
        <is>
          <t>Johnson</t>
        </is>
      </c>
      <c r="D5" s="6" t="inlineStr">
        <is>
          <t>Staffing Agency</t>
        </is>
      </c>
      <c r="E5" s="27" t="n">
        <v>46108</v>
      </c>
      <c r="F5" s="6" t="inlineStr">
        <is>
          <t>IT Support Spec</t>
        </is>
      </c>
      <c r="G5" s="6" t="inlineStr">
        <is>
          <t>IT</t>
        </is>
      </c>
      <c r="H5" s="6" t="inlineStr">
        <is>
          <t>Secret</t>
        </is>
      </c>
      <c r="I5" s="6" t="inlineStr">
        <is>
          <t>J. Rivera</t>
        </is>
      </c>
      <c r="J5" s="27" t="n">
        <v>46110</v>
      </c>
      <c r="K5" s="6" t="inlineStr">
        <is>
          <t>Pass</t>
        </is>
      </c>
      <c r="L5" s="27" t="n">
        <v>46113</v>
      </c>
      <c r="M5" s="6" t="inlineStr">
        <is>
          <t>M. Kim</t>
        </is>
      </c>
      <c r="N5" s="6" t="n">
        <v>4.5</v>
      </c>
      <c r="O5" s="6" t="inlineStr">
        <is>
          <t>Pass</t>
        </is>
      </c>
      <c r="P5" s="27" t="n">
        <v>46116</v>
      </c>
      <c r="Q5" s="30" t="n">
        <v>85000</v>
      </c>
      <c r="R5" s="6" t="inlineStr">
        <is>
          <t>Y</t>
        </is>
      </c>
      <c r="S5" s="27" t="n">
        <v>46117</v>
      </c>
      <c r="T5" s="6" t="inlineStr">
        <is>
          <t>Clear</t>
        </is>
      </c>
      <c r="U5" s="6" t="inlineStr">
        <is>
          <t>Pass</t>
        </is>
      </c>
      <c r="V5" s="27" t="n">
        <v>46123</v>
      </c>
      <c r="W5" s="124" t="inlineStr">
        <is>
          <t>Deployed</t>
        </is>
      </c>
      <c r="X5" s="46">
        <f>IF(V5&lt;&gt;"",TODAY()-V5,IF(S5&lt;&gt;"",TODAY()-S5,IF(P5&lt;&gt;"",TODAY()-P5,IF(L5&lt;&gt;"",TODAY()-L5,IF(J5&lt;&gt;"",TODAY()-J5,IF(E5&lt;&gt;"",TODAY()-E5,""))))))</f>
        <v/>
      </c>
      <c r="Y5" s="6" t="inlineStr"/>
      <c r="Z5" s="9" t="inlineStr"/>
    </row>
    <row r="6">
      <c r="A6" s="10" t="inlineStr">
        <is>
          <t>C-004</t>
        </is>
      </c>
      <c r="B6" s="11" t="inlineStr">
        <is>
          <t>Robert</t>
        </is>
      </c>
      <c r="C6" s="11" t="inlineStr">
        <is>
          <t>Williams</t>
        </is>
      </c>
      <c r="D6" s="11" t="inlineStr">
        <is>
          <t>Database</t>
        </is>
      </c>
      <c r="E6" s="28" t="n">
        <v>46109</v>
      </c>
      <c r="F6" s="11" t="inlineStr">
        <is>
          <t>Sr. Analyst</t>
        </is>
      </c>
      <c r="G6" s="11" t="inlineStr">
        <is>
          <t>Analyst</t>
        </is>
      </c>
      <c r="H6" s="11" t="inlineStr">
        <is>
          <t>Secret</t>
        </is>
      </c>
      <c r="I6" s="11" t="inlineStr">
        <is>
          <t>S. Patel</t>
        </is>
      </c>
      <c r="J6" s="28" t="n">
        <v>46111</v>
      </c>
      <c r="K6" s="11" t="inlineStr">
        <is>
          <t>Pass</t>
        </is>
      </c>
      <c r="L6" s="28" t="n">
        <v>46114</v>
      </c>
      <c r="M6" s="11" t="inlineStr">
        <is>
          <t>T. Washington</t>
        </is>
      </c>
      <c r="N6" s="11" t="n">
        <v>4</v>
      </c>
      <c r="O6" s="11" t="inlineStr">
        <is>
          <t>Pass</t>
        </is>
      </c>
      <c r="P6" s="28" t="n">
        <v>46117</v>
      </c>
      <c r="Q6" s="31" t="n">
        <v>92000</v>
      </c>
      <c r="R6" s="11" t="inlineStr">
        <is>
          <t>Y</t>
        </is>
      </c>
      <c r="S6" s="28" t="n">
        <v>46118</v>
      </c>
      <c r="T6" s="11" t="inlineStr">
        <is>
          <t>Pending</t>
        </is>
      </c>
      <c r="U6" s="11" t="inlineStr">
        <is>
          <t>Pass</t>
        </is>
      </c>
      <c r="V6" s="28" t="n">
        <v>46126</v>
      </c>
      <c r="W6" s="125" t="inlineStr">
        <is>
          <t>Onboarding</t>
        </is>
      </c>
      <c r="X6" s="47">
        <f>IF(V6&lt;&gt;"",TODAY()-V6,IF(S6&lt;&gt;"",TODAY()-S6,IF(P6&lt;&gt;"",TODAY()-P6,IF(L6&lt;&gt;"",TODAY()-L6,IF(J6&lt;&gt;"",TODAY()-J6,IF(E6&lt;&gt;"",TODAY()-E6,""))))))</f>
        <v/>
      </c>
      <c r="Y6" s="11" t="inlineStr"/>
      <c r="Z6" s="14" t="inlineStr">
        <is>
          <t>Awaiting clearance</t>
        </is>
      </c>
    </row>
    <row r="7">
      <c r="A7" s="5" t="inlineStr">
        <is>
          <t>C-005</t>
        </is>
      </c>
      <c r="B7" s="6" t="inlineStr">
        <is>
          <t>Priya</t>
        </is>
      </c>
      <c r="C7" s="6" t="inlineStr">
        <is>
          <t>Sharma</t>
        </is>
      </c>
      <c r="D7" s="6" t="inlineStr">
        <is>
          <t>Job Board</t>
        </is>
      </c>
      <c r="E7" s="27" t="n">
        <v>46110</v>
      </c>
      <c r="F7" s="6" t="inlineStr">
        <is>
          <t>Data Entry Clerk</t>
        </is>
      </c>
      <c r="G7" s="6" t="inlineStr">
        <is>
          <t>Admin</t>
        </is>
      </c>
      <c r="H7" s="6" t="inlineStr">
        <is>
          <t>Public Trust</t>
        </is>
      </c>
      <c r="I7" s="6" t="inlineStr">
        <is>
          <t>J. Rivera</t>
        </is>
      </c>
      <c r="J7" s="27" t="n">
        <v>46112</v>
      </c>
      <c r="K7" s="6" t="inlineStr">
        <is>
          <t>Pass</t>
        </is>
      </c>
      <c r="L7" s="27" t="n">
        <v>46115</v>
      </c>
      <c r="M7" s="6" t="inlineStr">
        <is>
          <t>L. Chen</t>
        </is>
      </c>
      <c r="N7" s="6" t="n">
        <v>3.5</v>
      </c>
      <c r="O7" s="6" t="inlineStr">
        <is>
          <t>Pass</t>
        </is>
      </c>
      <c r="P7" s="27" t="n">
        <v>46118</v>
      </c>
      <c r="Q7" s="30" t="n">
        <v>55000</v>
      </c>
      <c r="R7" s="6" t="inlineStr">
        <is>
          <t>Y</t>
        </is>
      </c>
      <c r="S7" s="27" t="n">
        <v>46119</v>
      </c>
      <c r="T7" s="6" t="inlineStr">
        <is>
          <t>Clear</t>
        </is>
      </c>
      <c r="U7" s="6" t="inlineStr">
        <is>
          <t>Pass</t>
        </is>
      </c>
      <c r="V7" s="27" t="n">
        <v>46125</v>
      </c>
      <c r="W7" s="124" t="inlineStr">
        <is>
          <t>Deployed</t>
        </is>
      </c>
      <c r="X7" s="46">
        <f>IF(V7&lt;&gt;"",TODAY()-V7,IF(S7&lt;&gt;"",TODAY()-S7,IF(P7&lt;&gt;"",TODAY()-P7,IF(L7&lt;&gt;"",TODAY()-L7,IF(J7&lt;&gt;"",TODAY()-J7,IF(E7&lt;&gt;"",TODAY()-E7,""))))))</f>
        <v/>
      </c>
      <c r="Y7" s="6" t="inlineStr"/>
      <c r="Z7" s="9" t="inlineStr"/>
    </row>
    <row r="8">
      <c r="A8" s="10" t="inlineStr">
        <is>
          <t>C-006</t>
        </is>
      </c>
      <c r="B8" s="11" t="inlineStr">
        <is>
          <t>David</t>
        </is>
      </c>
      <c r="C8" s="11" t="inlineStr">
        <is>
          <t>Thompson</t>
        </is>
      </c>
      <c r="D8" s="11" t="inlineStr">
        <is>
          <t>Internal</t>
        </is>
      </c>
      <c r="E8" s="28" t="n">
        <v>46111</v>
      </c>
      <c r="F8" s="11" t="inlineStr">
        <is>
          <t>QA Specialist</t>
        </is>
      </c>
      <c r="G8" s="11" t="inlineStr">
        <is>
          <t>Quality</t>
        </is>
      </c>
      <c r="H8" s="11" t="inlineStr">
        <is>
          <t>Public Trust</t>
        </is>
      </c>
      <c r="I8" s="11" t="inlineStr">
        <is>
          <t>S. Patel</t>
        </is>
      </c>
      <c r="J8" s="28" t="n">
        <v>46113</v>
      </c>
      <c r="K8" s="11" t="inlineStr">
        <is>
          <t>Pass</t>
        </is>
      </c>
      <c r="L8" s="28" t="n">
        <v>46116</v>
      </c>
      <c r="M8" s="11" t="inlineStr">
        <is>
          <t>M. Kim</t>
        </is>
      </c>
      <c r="N8" s="11" t="n">
        <v>4.3</v>
      </c>
      <c r="O8" s="11" t="inlineStr">
        <is>
          <t>Pass</t>
        </is>
      </c>
      <c r="P8" s="28" t="n">
        <v>46119</v>
      </c>
      <c r="Q8" s="31" t="n">
        <v>78000</v>
      </c>
      <c r="R8" s="11" t="inlineStr">
        <is>
          <t>Y</t>
        </is>
      </c>
      <c r="S8" s="28" t="n">
        <v>46120</v>
      </c>
      <c r="T8" s="11" t="inlineStr">
        <is>
          <t>Clear</t>
        </is>
      </c>
      <c r="U8" s="11" t="inlineStr">
        <is>
          <t>Pass</t>
        </is>
      </c>
      <c r="V8" s="28" t="n">
        <v>46126</v>
      </c>
      <c r="W8" s="124" t="inlineStr">
        <is>
          <t>Deployed</t>
        </is>
      </c>
      <c r="X8" s="47">
        <f>IF(V8&lt;&gt;"",TODAY()-V8,IF(S8&lt;&gt;"",TODAY()-S8,IF(P8&lt;&gt;"",TODAY()-P8,IF(L8&lt;&gt;"",TODAY()-L8,IF(J8&lt;&gt;"",TODAY()-J8,IF(E8&lt;&gt;"",TODAY()-E8,""))))))</f>
        <v/>
      </c>
      <c r="Y8" s="11" t="inlineStr"/>
      <c r="Z8" s="14" t="inlineStr"/>
    </row>
    <row r="9">
      <c r="A9" s="5" t="inlineStr">
        <is>
          <t>C-007</t>
        </is>
      </c>
      <c r="B9" s="6" t="inlineStr">
        <is>
          <t>Sarah</t>
        </is>
      </c>
      <c r="C9" s="6" t="inlineStr">
        <is>
          <t>Brown</t>
        </is>
      </c>
      <c r="D9" s="6" t="inlineStr">
        <is>
          <t>Referral</t>
        </is>
      </c>
      <c r="E9" s="27" t="n">
        <v>46113</v>
      </c>
      <c r="F9" s="6" t="inlineStr">
        <is>
          <t>Case Analyst</t>
        </is>
      </c>
      <c r="G9" s="6" t="inlineStr">
        <is>
          <t>Analyst</t>
        </is>
      </c>
      <c r="H9" s="6" t="inlineStr">
        <is>
          <t>Public Trust</t>
        </is>
      </c>
      <c r="I9" s="6" t="inlineStr">
        <is>
          <t>J. Rivera</t>
        </is>
      </c>
      <c r="J9" s="27" t="n">
        <v>46115</v>
      </c>
      <c r="K9" s="6" t="inlineStr">
        <is>
          <t>Pass</t>
        </is>
      </c>
      <c r="L9" s="27" t="n">
        <v>46119</v>
      </c>
      <c r="M9" s="6" t="inlineStr">
        <is>
          <t>T. Washington</t>
        </is>
      </c>
      <c r="N9" s="6" t="n">
        <v>3.9</v>
      </c>
      <c r="O9" s="6" t="inlineStr">
        <is>
          <t>Pass</t>
        </is>
      </c>
      <c r="P9" s="27" t="n">
        <v>46122</v>
      </c>
      <c r="Q9" s="30" t="n">
        <v>72000</v>
      </c>
      <c r="R9" s="6" t="inlineStr">
        <is>
          <t>Y</t>
        </is>
      </c>
      <c r="S9" s="27" t="n">
        <v>46123</v>
      </c>
      <c r="T9" s="6" t="inlineStr">
        <is>
          <t>Pending</t>
        </is>
      </c>
      <c r="U9" s="6" t="inlineStr">
        <is>
          <t>Scheduled</t>
        </is>
      </c>
      <c r="V9" s="27" t="n">
        <v>46132</v>
      </c>
      <c r="W9" s="125" t="inlineStr">
        <is>
          <t>Onboarding</t>
        </is>
      </c>
      <c r="X9" s="46">
        <f>IF(V9&lt;&gt;"",TODAY()-V9,IF(S9&lt;&gt;"",TODAY()-S9,IF(P9&lt;&gt;"",TODAY()-P9,IF(L9&lt;&gt;"",TODAY()-L9,IF(J9&lt;&gt;"",TODAY()-J9,IF(E9&lt;&gt;"",TODAY()-E9,""))))))</f>
        <v/>
      </c>
      <c r="Y9" s="6" t="inlineStr"/>
      <c r="Z9" s="9" t="inlineStr"/>
    </row>
    <row r="10">
      <c r="A10" s="10" t="inlineStr">
        <is>
          <t>C-008</t>
        </is>
      </c>
      <c r="B10" s="11" t="inlineStr">
        <is>
          <t>Michael</t>
        </is>
      </c>
      <c r="C10" s="11" t="inlineStr">
        <is>
          <t>Davis</t>
        </is>
      </c>
      <c r="D10" s="11" t="inlineStr">
        <is>
          <t>Job Board</t>
        </is>
      </c>
      <c r="E10" s="28" t="n">
        <v>46114</v>
      </c>
      <c r="F10" s="11" t="inlineStr">
        <is>
          <t>Security Analyst</t>
        </is>
      </c>
      <c r="G10" s="11" t="inlineStr">
        <is>
          <t>Security</t>
        </is>
      </c>
      <c r="H10" s="11" t="inlineStr">
        <is>
          <t>TS</t>
        </is>
      </c>
      <c r="I10" s="11" t="inlineStr">
        <is>
          <t>S. Patel</t>
        </is>
      </c>
      <c r="J10" s="28" t="n">
        <v>46116</v>
      </c>
      <c r="K10" s="11" t="inlineStr">
        <is>
          <t>Pass</t>
        </is>
      </c>
      <c r="L10" s="28" t="n">
        <v>46120</v>
      </c>
      <c r="M10" s="11" t="inlineStr">
        <is>
          <t>L. Chen</t>
        </is>
      </c>
      <c r="N10" s="11" t="n">
        <v>4.7</v>
      </c>
      <c r="O10" s="11" t="inlineStr">
        <is>
          <t>Pass</t>
        </is>
      </c>
      <c r="P10" s="28" t="n">
        <v>46123</v>
      </c>
      <c r="Q10" s="31" t="n">
        <v>98000</v>
      </c>
      <c r="R10" s="11" t="inlineStr">
        <is>
          <t>Y</t>
        </is>
      </c>
      <c r="S10" s="28" t="n">
        <v>46124</v>
      </c>
      <c r="T10" s="11" t="inlineStr">
        <is>
          <t>Submitted</t>
        </is>
      </c>
      <c r="U10" s="11" t="inlineStr">
        <is>
          <t>Pass</t>
        </is>
      </c>
      <c r="V10" s="28" t="n"/>
      <c r="W10" s="127" t="inlineStr">
        <is>
          <t>Accepted</t>
        </is>
      </c>
      <c r="X10" s="47">
        <f>IF(V10&lt;&gt;"",TODAY()-V10,IF(S10&lt;&gt;"",TODAY()-S10,IF(P10&lt;&gt;"",TODAY()-P10,IF(L10&lt;&gt;"",TODAY()-L10,IF(J10&lt;&gt;"",TODAY()-J10,IF(E10&lt;&gt;"",TODAY()-E10,""))))))</f>
        <v/>
      </c>
      <c r="Y10" s="11" t="inlineStr"/>
      <c r="Z10" s="14" t="inlineStr">
        <is>
          <t>Clearance pending</t>
        </is>
      </c>
    </row>
    <row r="11">
      <c r="A11" s="5" t="inlineStr">
        <is>
          <t>C-009</t>
        </is>
      </c>
      <c r="B11" s="6" t="inlineStr">
        <is>
          <t>Jennifer</t>
        </is>
      </c>
      <c r="C11" s="6" t="inlineStr">
        <is>
          <t>Garcia</t>
        </is>
      </c>
      <c r="D11" s="6" t="inlineStr">
        <is>
          <t>Staffing Agency</t>
        </is>
      </c>
      <c r="E11" s="27" t="n">
        <v>46115</v>
      </c>
      <c r="F11" s="6" t="inlineStr">
        <is>
          <t>Program Support</t>
        </is>
      </c>
      <c r="G11" s="6" t="inlineStr">
        <is>
          <t>Admin</t>
        </is>
      </c>
      <c r="H11" s="6" t="inlineStr">
        <is>
          <t>Public Trust</t>
        </is>
      </c>
      <c r="I11" s="6" t="inlineStr">
        <is>
          <t>J. Rivera</t>
        </is>
      </c>
      <c r="J11" s="27" t="n">
        <v>46117</v>
      </c>
      <c r="K11" s="6" t="inlineStr">
        <is>
          <t>Pass</t>
        </is>
      </c>
      <c r="L11" s="27" t="n">
        <v>46121</v>
      </c>
      <c r="M11" s="6" t="inlineStr">
        <is>
          <t>M. Kim</t>
        </is>
      </c>
      <c r="N11" s="6" t="n">
        <v>3.6</v>
      </c>
      <c r="O11" s="6" t="inlineStr">
        <is>
          <t>Pass</t>
        </is>
      </c>
      <c r="P11" s="27" t="n">
        <v>46124</v>
      </c>
      <c r="Q11" s="30" t="n">
        <v>65000</v>
      </c>
      <c r="R11" s="6" t="inlineStr">
        <is>
          <t>N</t>
        </is>
      </c>
      <c r="S11" s="27" t="n"/>
      <c r="T11" s="6" t="inlineStr"/>
      <c r="U11" s="6" t="inlineStr"/>
      <c r="V11" s="27" t="inlineStr"/>
      <c r="W11" s="126" t="inlineStr">
        <is>
          <t>Withdrawn</t>
        </is>
      </c>
      <c r="X11" s="46">
        <f>IF(V11&lt;&gt;"",TODAY()-V11,IF(S11&lt;&gt;"",TODAY()-S11,IF(P11&lt;&gt;"",TODAY()-P11,IF(L11&lt;&gt;"",TODAY()-L11,IF(J11&lt;&gt;"",TODAY()-J11,IF(E11&lt;&gt;"",TODAY()-E11,""))))))</f>
        <v/>
      </c>
      <c r="Y11" s="6" t="inlineStr">
        <is>
          <t>Accepted competing offer</t>
        </is>
      </c>
      <c r="Z11" s="9" t="inlineStr"/>
    </row>
    <row r="12">
      <c r="A12" s="10" t="inlineStr">
        <is>
          <t>C-010</t>
        </is>
      </c>
      <c r="B12" s="11" t="inlineStr">
        <is>
          <t>Kevin</t>
        </is>
      </c>
      <c r="C12" s="11" t="inlineStr">
        <is>
          <t>Lee</t>
        </is>
      </c>
      <c r="D12" s="11" t="inlineStr">
        <is>
          <t>Database</t>
        </is>
      </c>
      <c r="E12" s="28" t="n">
        <v>46116</v>
      </c>
      <c r="F12" s="11" t="inlineStr">
        <is>
          <t>Network Engineer</t>
        </is>
      </c>
      <c r="G12" s="11" t="inlineStr">
        <is>
          <t>IT</t>
        </is>
      </c>
      <c r="H12" s="11" t="inlineStr">
        <is>
          <t>Secret</t>
        </is>
      </c>
      <c r="I12" s="11" t="inlineStr">
        <is>
          <t>S. Patel</t>
        </is>
      </c>
      <c r="J12" s="28" t="n">
        <v>46119</v>
      </c>
      <c r="K12" s="11" t="inlineStr">
        <is>
          <t>Pass</t>
        </is>
      </c>
      <c r="L12" s="28" t="n">
        <v>46122</v>
      </c>
      <c r="M12" s="11" t="inlineStr">
        <is>
          <t>T. Washington</t>
        </is>
      </c>
      <c r="N12" s="11" t="n">
        <v>4.1</v>
      </c>
      <c r="O12" s="11" t="inlineStr">
        <is>
          <t>Pass</t>
        </is>
      </c>
      <c r="P12" s="28" t="n">
        <v>46126</v>
      </c>
      <c r="Q12" s="31" t="n">
        <v>90000</v>
      </c>
      <c r="R12" s="11" t="inlineStr">
        <is>
          <t>Y</t>
        </is>
      </c>
      <c r="S12" s="28" t="n">
        <v>46127</v>
      </c>
      <c r="T12" s="11" t="inlineStr">
        <is>
          <t>Initiated</t>
        </is>
      </c>
      <c r="U12" s="11" t="inlineStr">
        <is>
          <t>Scheduled</t>
        </is>
      </c>
      <c r="V12" s="28" t="n"/>
      <c r="W12" s="127" t="inlineStr">
        <is>
          <t>Accepted</t>
        </is>
      </c>
      <c r="X12" s="47">
        <f>IF(V12&lt;&gt;"",TODAY()-V12,IF(S12&lt;&gt;"",TODAY()-S12,IF(P12&lt;&gt;"",TODAY()-P12,IF(L12&lt;&gt;"",TODAY()-L12,IF(J12&lt;&gt;"",TODAY()-J12,IF(E12&lt;&gt;"",TODAY()-E12,""))))))</f>
        <v/>
      </c>
      <c r="Y12" s="11" t="inlineStr"/>
      <c r="Z12" s="14" t="inlineStr"/>
    </row>
    <row r="13">
      <c r="A13" s="5" t="inlineStr">
        <is>
          <t>C-011</t>
        </is>
      </c>
      <c r="B13" s="6" t="inlineStr">
        <is>
          <t>Amanda</t>
        </is>
      </c>
      <c r="C13" s="6" t="inlineStr">
        <is>
          <t>Taylor</t>
        </is>
      </c>
      <c r="D13" s="6" t="inlineStr">
        <is>
          <t>Job Board</t>
        </is>
      </c>
      <c r="E13" s="27" t="n">
        <v>46117</v>
      </c>
      <c r="F13" s="6" t="inlineStr">
        <is>
          <t>Case Analyst</t>
        </is>
      </c>
      <c r="G13" s="6" t="inlineStr">
        <is>
          <t>Analyst</t>
        </is>
      </c>
      <c r="H13" s="6" t="inlineStr">
        <is>
          <t>Public Trust</t>
        </is>
      </c>
      <c r="I13" s="6" t="inlineStr">
        <is>
          <t>J. Rivera</t>
        </is>
      </c>
      <c r="J13" s="27" t="n">
        <v>46120</v>
      </c>
      <c r="K13" s="6" t="inlineStr">
        <is>
          <t>Pass</t>
        </is>
      </c>
      <c r="L13" s="27" t="n">
        <v>46123</v>
      </c>
      <c r="M13" s="6" t="inlineStr">
        <is>
          <t>L. Chen</t>
        </is>
      </c>
      <c r="N13" s="6" t="n">
        <v>4.4</v>
      </c>
      <c r="O13" s="6" t="inlineStr">
        <is>
          <t>Pass</t>
        </is>
      </c>
      <c r="P13" s="27" t="n"/>
      <c r="Q13" s="30" t="n"/>
      <c r="R13" s="6" t="inlineStr"/>
      <c r="S13" s="27" t="inlineStr"/>
      <c r="T13" s="6" t="n"/>
      <c r="U13" s="6" t="inlineStr"/>
      <c r="V13" s="27" t="n"/>
      <c r="W13" s="127" t="inlineStr">
        <is>
          <t>Interviewed</t>
        </is>
      </c>
      <c r="X13" s="46">
        <f>IF(V13&lt;&gt;"",TODAY()-V13,IF(S13&lt;&gt;"",TODAY()-S13,IF(P13&lt;&gt;"",TODAY()-P13,IF(L13&lt;&gt;"",TODAY()-L13,IF(J13&lt;&gt;"",TODAY()-J13,IF(E13&lt;&gt;"",TODAY()-E13,""))))))</f>
        <v/>
      </c>
      <c r="Y13" s="6" t="inlineStr"/>
      <c r="Z13" s="9" t="inlineStr">
        <is>
          <t>Strong candidate</t>
        </is>
      </c>
    </row>
    <row r="14">
      <c r="A14" s="10" t="inlineStr">
        <is>
          <t>C-012</t>
        </is>
      </c>
      <c r="B14" s="11" t="inlineStr">
        <is>
          <t>Carlos</t>
        </is>
      </c>
      <c r="C14" s="11" t="inlineStr">
        <is>
          <t>Rodriguez</t>
        </is>
      </c>
      <c r="D14" s="11" t="inlineStr">
        <is>
          <t>Referral</t>
        </is>
      </c>
      <c r="E14" s="28" t="n">
        <v>46118</v>
      </c>
      <c r="F14" s="11" t="inlineStr">
        <is>
          <t>Sr. Case Analyst</t>
        </is>
      </c>
      <c r="G14" s="11" t="inlineStr">
        <is>
          <t>Analyst</t>
        </is>
      </c>
      <c r="H14" s="11" t="inlineStr">
        <is>
          <t>Secret</t>
        </is>
      </c>
      <c r="I14" s="11" t="inlineStr">
        <is>
          <t>S. Patel</t>
        </is>
      </c>
      <c r="J14" s="28" t="n">
        <v>46121</v>
      </c>
      <c r="K14" s="11" t="inlineStr">
        <is>
          <t>Pass</t>
        </is>
      </c>
      <c r="L14" s="28" t="n">
        <v>46126</v>
      </c>
      <c r="M14" s="11" t="inlineStr">
        <is>
          <t>M. Kim</t>
        </is>
      </c>
      <c r="N14" s="11" t="n">
        <v>3.7</v>
      </c>
      <c r="O14" s="11" t="inlineStr">
        <is>
          <t>Maybe</t>
        </is>
      </c>
      <c r="P14" s="28" t="n"/>
      <c r="Q14" s="31" t="n"/>
      <c r="R14" s="11" t="inlineStr"/>
      <c r="S14" s="28" t="inlineStr"/>
      <c r="T14" s="11" t="n"/>
      <c r="U14" s="11" t="inlineStr"/>
      <c r="V14" s="28" t="n"/>
      <c r="W14" s="127" t="inlineStr">
        <is>
          <t>Interviewed</t>
        </is>
      </c>
      <c r="X14" s="47">
        <f>IF(V14&lt;&gt;"",TODAY()-V14,IF(S14&lt;&gt;"",TODAY()-S14,IF(P14&lt;&gt;"",TODAY()-P14,IF(L14&lt;&gt;"",TODAY()-L14,IF(J14&lt;&gt;"",TODAY()-J14,IF(E14&lt;&gt;"",TODAY()-E14,""))))))</f>
        <v/>
      </c>
      <c r="Y14" s="11" t="inlineStr"/>
      <c r="Z14" s="14" t="inlineStr">
        <is>
          <t>Needs second interview</t>
        </is>
      </c>
    </row>
    <row r="15">
      <c r="A15" s="5" t="inlineStr">
        <is>
          <t>C-013</t>
        </is>
      </c>
      <c r="B15" s="6" t="inlineStr">
        <is>
          <t>Lisa</t>
        </is>
      </c>
      <c r="C15" s="6" t="inlineStr">
        <is>
          <t>Anderson</t>
        </is>
      </c>
      <c r="D15" s="6" t="inlineStr">
        <is>
          <t>Staffing Agency</t>
        </is>
      </c>
      <c r="E15" s="27" t="n">
        <v>46119</v>
      </c>
      <c r="F15" s="6" t="inlineStr">
        <is>
          <t>Training Specialist</t>
        </is>
      </c>
      <c r="G15" s="6" t="inlineStr">
        <is>
          <t>Training</t>
        </is>
      </c>
      <c r="H15" s="6" t="inlineStr">
        <is>
          <t>Public Trust</t>
        </is>
      </c>
      <c r="I15" s="6" t="inlineStr">
        <is>
          <t>J. Rivera</t>
        </is>
      </c>
      <c r="J15" s="27" t="n">
        <v>46122</v>
      </c>
      <c r="K15" s="6" t="inlineStr">
        <is>
          <t>Pass</t>
        </is>
      </c>
      <c r="L15" s="27" t="n"/>
      <c r="M15" s="6" t="n"/>
      <c r="N15" s="6" t="n"/>
      <c r="O15" s="6" t="n"/>
      <c r="P15" s="27" t="n"/>
      <c r="Q15" s="30" t="n"/>
      <c r="R15" s="6" t="inlineStr"/>
      <c r="S15" s="27" t="inlineStr"/>
      <c r="T15" s="6" t="n"/>
      <c r="U15" s="6" t="inlineStr"/>
      <c r="V15" s="27" t="n"/>
      <c r="W15" s="125" t="inlineStr">
        <is>
          <t>Screened</t>
        </is>
      </c>
      <c r="X15" s="46">
        <f>IF(V15&lt;&gt;"",TODAY()-V15,IF(S15&lt;&gt;"",TODAY()-S15,IF(P15&lt;&gt;"",TODAY()-P15,IF(L15&lt;&gt;"",TODAY()-L15,IF(J15&lt;&gt;"",TODAY()-J15,IF(E15&lt;&gt;"",TODAY()-E15,""))))))</f>
        <v/>
      </c>
      <c r="Y15" s="6" t="inlineStr"/>
      <c r="Z15" s="9" t="inlineStr"/>
    </row>
    <row r="16">
      <c r="A16" s="10" t="inlineStr">
        <is>
          <t>C-014</t>
        </is>
      </c>
      <c r="B16" s="11" t="inlineStr">
        <is>
          <t>Thomas</t>
        </is>
      </c>
      <c r="C16" s="11" t="inlineStr">
        <is>
          <t>Martinez</t>
        </is>
      </c>
      <c r="D16" s="11" t="inlineStr">
        <is>
          <t>Job Board</t>
        </is>
      </c>
      <c r="E16" s="28" t="n">
        <v>46120</v>
      </c>
      <c r="F16" s="11" t="inlineStr">
        <is>
          <t>Help Desk Tech</t>
        </is>
      </c>
      <c r="G16" s="11" t="inlineStr">
        <is>
          <t>IT</t>
        </is>
      </c>
      <c r="H16" s="11" t="inlineStr">
        <is>
          <t>Public Trust</t>
        </is>
      </c>
      <c r="I16" s="11" t="inlineStr">
        <is>
          <t>S. Patel</t>
        </is>
      </c>
      <c r="J16" s="28" t="n">
        <v>46123</v>
      </c>
      <c r="K16" s="11" t="inlineStr">
        <is>
          <t>Pass</t>
        </is>
      </c>
      <c r="L16" s="28" t="n"/>
      <c r="M16" s="11" t="n"/>
      <c r="N16" s="11" t="n"/>
      <c r="O16" s="11" t="n"/>
      <c r="P16" s="28" t="n"/>
      <c r="Q16" s="31" t="n"/>
      <c r="R16" s="11" t="inlineStr"/>
      <c r="S16" s="28" t="inlineStr"/>
      <c r="T16" s="11" t="n"/>
      <c r="U16" s="11" t="inlineStr"/>
      <c r="V16" s="28" t="n"/>
      <c r="W16" s="125" t="inlineStr">
        <is>
          <t>Screened</t>
        </is>
      </c>
      <c r="X16" s="47">
        <f>IF(V16&lt;&gt;"",TODAY()-V16,IF(S16&lt;&gt;"",TODAY()-S16,IF(P16&lt;&gt;"",TODAY()-P16,IF(L16&lt;&gt;"",TODAY()-L16,IF(J16&lt;&gt;"",TODAY()-J16,IF(E16&lt;&gt;"",TODAY()-E16,""))))))</f>
        <v/>
      </c>
      <c r="Y16" s="11" t="inlineStr"/>
      <c r="Z16" s="14" t="inlineStr"/>
    </row>
    <row r="17">
      <c r="A17" s="5" t="inlineStr">
        <is>
          <t>C-015</t>
        </is>
      </c>
      <c r="B17" s="6" t="inlineStr">
        <is>
          <t>Rachel</t>
        </is>
      </c>
      <c r="C17" s="6" t="inlineStr">
        <is>
          <t>Wilson</t>
        </is>
      </c>
      <c r="D17" s="6" t="inlineStr">
        <is>
          <t>Database</t>
        </is>
      </c>
      <c r="E17" s="27" t="n">
        <v>46121</v>
      </c>
      <c r="F17" s="6" t="inlineStr">
        <is>
          <t>Case Analyst</t>
        </is>
      </c>
      <c r="G17" s="6" t="inlineStr">
        <is>
          <t>Analyst</t>
        </is>
      </c>
      <c r="H17" s="6" t="inlineStr">
        <is>
          <t>Public Trust</t>
        </is>
      </c>
      <c r="I17" s="6" t="inlineStr">
        <is>
          <t>J. Rivera</t>
        </is>
      </c>
      <c r="J17" s="27" t="n">
        <v>46124</v>
      </c>
      <c r="K17" s="6" t="inlineStr">
        <is>
          <t>Fail</t>
        </is>
      </c>
      <c r="L17" s="27" t="n"/>
      <c r="M17" s="6" t="n"/>
      <c r="N17" s="6" t="n"/>
      <c r="O17" s="6" t="n"/>
      <c r="P17" s="27" t="n"/>
      <c r="Q17" s="30" t="n"/>
      <c r="R17" s="6" t="inlineStr"/>
      <c r="S17" s="27" t="inlineStr"/>
      <c r="T17" s="6" t="n"/>
      <c r="U17" s="6" t="inlineStr"/>
      <c r="V17" s="27" t="n"/>
      <c r="W17" s="126" t="inlineStr">
        <is>
          <t>Withdrawn</t>
        </is>
      </c>
      <c r="X17" s="46">
        <f>IF(V17&lt;&gt;"",TODAY()-V17,IF(S17&lt;&gt;"",TODAY()-S17,IF(P17&lt;&gt;"",TODAY()-P17,IF(L17&lt;&gt;"",TODAY()-L17,IF(J17&lt;&gt;"",TODAY()-J17,IF(E17&lt;&gt;"",TODAY()-E17,""))))))</f>
        <v/>
      </c>
      <c r="Y17" s="6" t="inlineStr">
        <is>
          <t>Failed phone screen</t>
        </is>
      </c>
      <c r="Z17" s="9" t="inlineStr"/>
    </row>
    <row r="18">
      <c r="A18" s="10" t="inlineStr">
        <is>
          <t>C-016</t>
        </is>
      </c>
      <c r="B18" s="11" t="inlineStr">
        <is>
          <t>Brian</t>
        </is>
      </c>
      <c r="C18" s="11" t="inlineStr">
        <is>
          <t>Harris</t>
        </is>
      </c>
      <c r="D18" s="11" t="inlineStr">
        <is>
          <t>Internal</t>
        </is>
      </c>
      <c r="E18" s="28" t="n">
        <v>46122</v>
      </c>
      <c r="F18" s="11" t="inlineStr">
        <is>
          <t>Supervisor</t>
        </is>
      </c>
      <c r="G18" s="11" t="inlineStr">
        <is>
          <t>Management</t>
        </is>
      </c>
      <c r="H18" s="11" t="inlineStr">
        <is>
          <t>Secret</t>
        </is>
      </c>
      <c r="I18" s="11" t="inlineStr">
        <is>
          <t>S. Patel</t>
        </is>
      </c>
      <c r="J18" s="28" t="n">
        <v>46125</v>
      </c>
      <c r="K18" s="11" t="inlineStr">
        <is>
          <t>Pass</t>
        </is>
      </c>
      <c r="L18" s="28" t="n">
        <v>46129</v>
      </c>
      <c r="M18" s="11" t="inlineStr">
        <is>
          <t>T. Washington</t>
        </is>
      </c>
      <c r="N18" s="11" t="n">
        <v>4.6</v>
      </c>
      <c r="O18" s="11" t="n"/>
      <c r="P18" s="28" t="n"/>
      <c r="Q18" s="31" t="n"/>
      <c r="R18" s="11" t="inlineStr"/>
      <c r="S18" s="28" t="inlineStr"/>
      <c r="T18" s="11" t="n"/>
      <c r="U18" s="11" t="inlineStr"/>
      <c r="V18" s="28" t="n"/>
      <c r="W18" s="127" t="inlineStr">
        <is>
          <t>Interviewed</t>
        </is>
      </c>
      <c r="X18" s="47">
        <f>IF(V18&lt;&gt;"",TODAY()-V18,IF(S18&lt;&gt;"",TODAY()-S18,IF(P18&lt;&gt;"",TODAY()-P18,IF(L18&lt;&gt;"",TODAY()-L18,IF(J18&lt;&gt;"",TODAY()-J18,IF(E18&lt;&gt;"",TODAY()-E18,""))))))</f>
        <v/>
      </c>
      <c r="Y18" s="11" t="inlineStr"/>
      <c r="Z18" s="14" t="inlineStr"/>
    </row>
    <row r="19">
      <c r="A19" s="5" t="inlineStr">
        <is>
          <t>C-017</t>
        </is>
      </c>
      <c r="B19" s="6" t="inlineStr">
        <is>
          <t>Nicole</t>
        </is>
      </c>
      <c r="C19" s="6" t="inlineStr">
        <is>
          <t>Clark</t>
        </is>
      </c>
      <c r="D19" s="6" t="inlineStr">
        <is>
          <t>Job Board</t>
        </is>
      </c>
      <c r="E19" s="27" t="n">
        <v>46123</v>
      </c>
      <c r="F19" s="6" t="inlineStr">
        <is>
          <t>Data Entry Clerk</t>
        </is>
      </c>
      <c r="G19" s="6" t="inlineStr">
        <is>
          <t>Admin</t>
        </is>
      </c>
      <c r="H19" s="6" t="inlineStr">
        <is>
          <t>Public Trust</t>
        </is>
      </c>
      <c r="I19" s="6" t="inlineStr">
        <is>
          <t>J. Rivera</t>
        </is>
      </c>
      <c r="J19" s="27" t="n">
        <v>46126</v>
      </c>
      <c r="K19" s="6" t="inlineStr">
        <is>
          <t>Pass</t>
        </is>
      </c>
      <c r="L19" s="27" t="n"/>
      <c r="M19" s="6" t="n"/>
      <c r="N19" s="6" t="n"/>
      <c r="O19" s="6" t="n"/>
      <c r="P19" s="27" t="n"/>
      <c r="Q19" s="30" t="n"/>
      <c r="R19" s="6" t="inlineStr"/>
      <c r="S19" s="27" t="inlineStr"/>
      <c r="T19" s="6" t="n"/>
      <c r="U19" s="6" t="inlineStr"/>
      <c r="V19" s="27" t="n"/>
      <c r="W19" s="125" t="inlineStr">
        <is>
          <t>Screened</t>
        </is>
      </c>
      <c r="X19" s="46">
        <f>IF(V19&lt;&gt;"",TODAY()-V19,IF(S19&lt;&gt;"",TODAY()-S19,IF(P19&lt;&gt;"",TODAY()-P19,IF(L19&lt;&gt;"",TODAY()-L19,IF(J19&lt;&gt;"",TODAY()-J19,IF(E19&lt;&gt;"",TODAY()-E19,""))))))</f>
        <v/>
      </c>
      <c r="Y19" s="6" t="inlineStr"/>
      <c r="Z19" s="9" t="inlineStr"/>
    </row>
    <row r="20">
      <c r="A20" s="10" t="inlineStr">
        <is>
          <t>C-018</t>
        </is>
      </c>
      <c r="B20" s="11" t="inlineStr">
        <is>
          <t>Anthony</t>
        </is>
      </c>
      <c r="C20" s="11" t="inlineStr">
        <is>
          <t>Lewis</t>
        </is>
      </c>
      <c r="D20" s="11" t="inlineStr">
        <is>
          <t>Staffing Agency</t>
        </is>
      </c>
      <c r="E20" s="28" t="n">
        <v>46125</v>
      </c>
      <c r="F20" s="11" t="inlineStr">
        <is>
          <t>Case Analyst</t>
        </is>
      </c>
      <c r="G20" s="11" t="inlineStr">
        <is>
          <t>Analyst</t>
        </is>
      </c>
      <c r="H20" s="11" t="inlineStr">
        <is>
          <t>Public Trust</t>
        </is>
      </c>
      <c r="I20" s="11" t="inlineStr">
        <is>
          <t>S. Patel</t>
        </is>
      </c>
      <c r="J20" s="28" t="n">
        <v>46128</v>
      </c>
      <c r="K20" s="11" t="inlineStr">
        <is>
          <t>Pass</t>
        </is>
      </c>
      <c r="L20" s="28" t="n"/>
      <c r="M20" s="11" t="n"/>
      <c r="N20" s="11" t="n"/>
      <c r="O20" s="11" t="n"/>
      <c r="P20" s="28" t="n"/>
      <c r="Q20" s="31" t="n"/>
      <c r="R20" s="11" t="inlineStr"/>
      <c r="S20" s="28" t="inlineStr"/>
      <c r="T20" s="11" t="n"/>
      <c r="U20" s="11" t="inlineStr"/>
      <c r="V20" s="28" t="n"/>
      <c r="W20" s="125" t="inlineStr">
        <is>
          <t>Screened</t>
        </is>
      </c>
      <c r="X20" s="47">
        <f>IF(V20&lt;&gt;"",TODAY()-V20,IF(S20&lt;&gt;"",TODAY()-S20,IF(P20&lt;&gt;"",TODAY()-P20,IF(L20&lt;&gt;"",TODAY()-L20,IF(J20&lt;&gt;"",TODAY()-J20,IF(E20&lt;&gt;"",TODAY()-E20,""))))))</f>
        <v/>
      </c>
      <c r="Y20" s="11" t="inlineStr"/>
      <c r="Z20" s="14" t="inlineStr"/>
    </row>
    <row r="21">
      <c r="A21" s="5" t="inlineStr">
        <is>
          <t>C-019</t>
        </is>
      </c>
      <c r="B21" s="6" t="inlineStr">
        <is>
          <t>Michelle</t>
        </is>
      </c>
      <c r="C21" s="6" t="inlineStr">
        <is>
          <t>Walker</t>
        </is>
      </c>
      <c r="D21" s="6" t="inlineStr">
        <is>
          <t>Referral</t>
        </is>
      </c>
      <c r="E21" s="27" t="n">
        <v>46127</v>
      </c>
      <c r="F21" s="6" t="inlineStr">
        <is>
          <t>Program Analyst</t>
        </is>
      </c>
      <c r="G21" s="6" t="inlineStr">
        <is>
          <t>Analyst</t>
        </is>
      </c>
      <c r="H21" s="6" t="inlineStr">
        <is>
          <t>Secret</t>
        </is>
      </c>
      <c r="I21" s="6" t="inlineStr">
        <is>
          <t>J. Rivera</t>
        </is>
      </c>
      <c r="J21" s="27" t="n"/>
      <c r="K21" s="6" t="n"/>
      <c r="L21" s="27" t="n"/>
      <c r="M21" s="6" t="n"/>
      <c r="N21" s="6" t="n"/>
      <c r="O21" s="6" t="n"/>
      <c r="P21" s="27" t="n"/>
      <c r="Q21" s="30" t="n"/>
      <c r="R21" s="6" t="inlineStr"/>
      <c r="S21" s="27" t="inlineStr"/>
      <c r="T21" s="6" t="n"/>
      <c r="U21" s="6" t="inlineStr"/>
      <c r="V21" s="27" t="n"/>
      <c r="W21" s="125" t="inlineStr">
        <is>
          <t>Sourced</t>
        </is>
      </c>
      <c r="X21" s="46">
        <f>IF(V21&lt;&gt;"",TODAY()-V21,IF(S21&lt;&gt;"",TODAY()-S21,IF(P21&lt;&gt;"",TODAY()-P21,IF(L21&lt;&gt;"",TODAY()-L21,IF(J21&lt;&gt;"",TODAY()-J21,IF(E21&lt;&gt;"",TODAY()-E21,""))))))</f>
        <v/>
      </c>
      <c r="Y21" s="6" t="inlineStr"/>
      <c r="Z21" s="9" t="inlineStr"/>
    </row>
    <row r="22">
      <c r="A22" s="22" t="inlineStr">
        <is>
          <t>C-020</t>
        </is>
      </c>
      <c r="B22" s="23" t="inlineStr">
        <is>
          <t>Daniel</t>
        </is>
      </c>
      <c r="C22" s="23" t="inlineStr">
        <is>
          <t>Hall</t>
        </is>
      </c>
      <c r="D22" s="23" t="inlineStr">
        <is>
          <t>Database</t>
        </is>
      </c>
      <c r="E22" s="32" t="n">
        <v>46129</v>
      </c>
      <c r="F22" s="23" t="inlineStr">
        <is>
          <t>Case Analyst</t>
        </is>
      </c>
      <c r="G22" s="23" t="inlineStr">
        <is>
          <t>Analyst</t>
        </is>
      </c>
      <c r="H22" s="23" t="inlineStr">
        <is>
          <t>Public Trust</t>
        </is>
      </c>
      <c r="I22" s="23" t="inlineStr">
        <is>
          <t>S. Patel</t>
        </is>
      </c>
      <c r="J22" s="32" t="n"/>
      <c r="K22" s="23" t="n"/>
      <c r="L22" s="32" t="n"/>
      <c r="M22" s="23" t="n"/>
      <c r="N22" s="23" t="n"/>
      <c r="O22" s="23" t="n"/>
      <c r="P22" s="32" t="n"/>
      <c r="Q22" s="33" t="n"/>
      <c r="R22" s="23" t="inlineStr"/>
      <c r="S22" s="32" t="inlineStr"/>
      <c r="T22" s="23" t="n"/>
      <c r="U22" s="23" t="inlineStr"/>
      <c r="V22" s="32" t="n"/>
      <c r="W22" s="128" t="inlineStr">
        <is>
          <t>Sourced</t>
        </is>
      </c>
      <c r="X22" s="48">
        <f>IF(V22&lt;&gt;"",TODAY()-V22,IF(S22&lt;&gt;"",TODAY()-S22,IF(P22&lt;&gt;"",TODAY()-P22,IF(L22&lt;&gt;"",TODAY()-L22,IF(J22&lt;&gt;"",TODAY()-J22,IF(E22&lt;&gt;"",TODAY()-E22,""))))))</f>
        <v/>
      </c>
      <c r="Y22" s="23" t="inlineStr"/>
      <c r="Z22" s="26" t="inlineStr"/>
    </row>
  </sheetData>
  <mergeCells count="1">
    <mergeCell ref="A1:Z1"/>
  </mergeCells>
  <dataValidations count="4">
    <dataValidation sqref="R3:R22" showDropDown="0" showInputMessage="0" showErrorMessage="0" allowBlank="1" type="list">
      <formula1>"Y,N"</formula1>
    </dataValidation>
    <dataValidation sqref="D3:D22" showDropDown="0" showInputMessage="0" showErrorMessage="0" allowBlank="1" type="list">
      <formula1>"Indeed,LinkedIn,Referral,Agency,Job Fair,Internal,USAJobs,Other"</formula1>
    </dataValidation>
    <dataValidation sqref="W3:W22" showDropDown="0" showInputMessage="0" showErrorMessage="0" allowBlank="1" type="list">
      <formula1>"Sourced,Screened,Phone Screen,Interviewed,Offered,Accepted,Background Check,Hired,Deployed,Withdrawn,Rejected"</formula1>
    </dataValidation>
    <dataValidation sqref="H3:H22" showDropDown="0" showInputMessage="0" showErrorMessage="0" allowBlank="1" type="list">
      <formula1>"Public Trust,Secret,Top Secret,TS/SCI,None"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2" customWidth="1" min="11" max="11"/>
    <col width="17" customWidth="1" min="12" max="12"/>
    <col width="13" customWidth="1" min="13" max="13"/>
    <col width="13" customWidth="1" min="14" max="14"/>
    <col width="22" customWidth="1" min="15" max="15"/>
    <col width="22" customWidth="1" min="16" max="16"/>
    <col width="15" customWidth="1" min="17" max="17"/>
  </cols>
  <sheetData>
    <row r="1" ht="30" customHeight="1">
      <c r="A1" s="1" t="inlineStr">
        <is>
          <t>INTERVIEW SCORECARD</t>
        </is>
      </c>
    </row>
    <row r="2" ht="35" customHeight="1">
      <c r="A2" s="2" t="inlineStr">
        <is>
          <t>Interview ID</t>
        </is>
      </c>
      <c r="B2" s="3" t="inlineStr">
        <is>
          <t>Date</t>
        </is>
      </c>
      <c r="C2" s="3" t="inlineStr">
        <is>
          <t>Candidate ID</t>
        </is>
      </c>
      <c r="D2" s="3" t="inlineStr">
        <is>
          <t>Candidate Name</t>
        </is>
      </c>
      <c r="E2" s="3" t="inlineStr">
        <is>
          <t>Position</t>
        </is>
      </c>
      <c r="F2" s="3" t="inlineStr">
        <is>
          <t>Interviewer</t>
        </is>
      </c>
      <c r="G2" s="3" t="inlineStr">
        <is>
          <t>Communication</t>
        </is>
      </c>
      <c r="H2" s="3" t="inlineStr">
        <is>
          <t>Technical Knowledge</t>
        </is>
      </c>
      <c r="I2" s="3" t="inlineStr">
        <is>
          <t>Problem Solving</t>
        </is>
      </c>
      <c r="J2" s="3" t="inlineStr">
        <is>
          <t>Experience Relevance</t>
        </is>
      </c>
      <c r="K2" s="3" t="inlineStr">
        <is>
          <t>Cultural Fit</t>
        </is>
      </c>
      <c r="L2" s="3" t="inlineStr">
        <is>
          <t>Remote Work Readiness</t>
        </is>
      </c>
      <c r="M2" s="3" t="inlineStr">
        <is>
          <t>Weighted Total</t>
        </is>
      </c>
      <c r="N2" s="3" t="inlineStr">
        <is>
          <t>Recommendation</t>
        </is>
      </c>
      <c r="O2" s="3" t="inlineStr">
        <is>
          <t>Strengths</t>
        </is>
      </c>
      <c r="P2" s="3" t="inlineStr">
        <is>
          <t>Concerns</t>
        </is>
      </c>
      <c r="Q2" s="4" t="inlineStr">
        <is>
          <t>Notes</t>
        </is>
      </c>
    </row>
    <row r="3">
      <c r="A3" s="5" t="inlineStr">
        <is>
          <t>INT-001</t>
        </is>
      </c>
      <c r="B3" s="27" t="n">
        <v>46111</v>
      </c>
      <c r="C3" s="6" t="inlineStr">
        <is>
          <t>C-001</t>
        </is>
      </c>
      <c r="D3" s="6" t="inlineStr">
        <is>
          <t>Maria Santos</t>
        </is>
      </c>
      <c r="E3" s="6" t="inlineStr">
        <is>
          <t>Case Analyst</t>
        </is>
      </c>
      <c r="F3" s="6" t="inlineStr">
        <is>
          <t>T. Washington</t>
        </is>
      </c>
      <c r="G3" s="34" t="n">
        <v>4</v>
      </c>
      <c r="H3" s="34" t="n">
        <v>4</v>
      </c>
      <c r="I3" s="34" t="n">
        <v>4</v>
      </c>
      <c r="J3" s="34" t="n">
        <v>5</v>
      </c>
      <c r="K3" s="34" t="n">
        <v>4</v>
      </c>
      <c r="L3" s="34" t="n">
        <v>5</v>
      </c>
      <c r="M3" s="43">
        <f>ROUND((G3*0.15+H3*0.2+I3*0.2+J3*0.15+K3*0.15+L3*0.15)*20,1)</f>
        <v/>
      </c>
      <c r="N3" s="124" t="inlineStr">
        <is>
          <t>Strong Hire</t>
        </is>
      </c>
      <c r="O3" s="6" t="inlineStr">
        <is>
          <t>Excellent remote experience, strong communicator</t>
        </is>
      </c>
      <c r="P3" s="6" t="inlineStr">
        <is>
          <t>None noted</t>
        </is>
      </c>
      <c r="Q3" s="9" t="inlineStr"/>
    </row>
    <row r="4">
      <c r="A4" s="10" t="inlineStr">
        <is>
          <t>INT-002</t>
        </is>
      </c>
      <c r="B4" s="28" t="n">
        <v>46112</v>
      </c>
      <c r="C4" s="11" t="inlineStr">
        <is>
          <t>C-002</t>
        </is>
      </c>
      <c r="D4" s="11" t="inlineStr">
        <is>
          <t>James Mitchell</t>
        </is>
      </c>
      <c r="E4" s="11" t="inlineStr">
        <is>
          <t>Program Support</t>
        </is>
      </c>
      <c r="F4" s="11" t="inlineStr">
        <is>
          <t>L. Chen</t>
        </is>
      </c>
      <c r="G4" s="36" t="n">
        <v>4</v>
      </c>
      <c r="H4" s="36" t="n">
        <v>3</v>
      </c>
      <c r="I4" s="36" t="n">
        <v>3</v>
      </c>
      <c r="J4" s="36" t="n">
        <v>4</v>
      </c>
      <c r="K4" s="36" t="n">
        <v>4</v>
      </c>
      <c r="L4" s="36" t="n">
        <v>4</v>
      </c>
      <c r="M4" s="44">
        <f>ROUND((G4*0.15+H4*0.2+I4*0.2+J4*0.15+K4*0.15+L4*0.15)*20,1)</f>
        <v/>
      </c>
      <c r="N4" s="124" t="inlineStr">
        <is>
          <t>Hire</t>
        </is>
      </c>
      <c r="O4" s="11" t="inlineStr">
        <is>
          <t>Good organizational skills</t>
        </is>
      </c>
      <c r="P4" s="11" t="inlineStr">
        <is>
          <t>Limited govt experience</t>
        </is>
      </c>
      <c r="Q4" s="14" t="inlineStr"/>
    </row>
    <row r="5">
      <c r="A5" s="5" t="inlineStr">
        <is>
          <t>INT-003</t>
        </is>
      </c>
      <c r="B5" s="27" t="n">
        <v>46113</v>
      </c>
      <c r="C5" s="6" t="inlineStr">
        <is>
          <t>C-003</t>
        </is>
      </c>
      <c r="D5" s="6" t="inlineStr">
        <is>
          <t>Aisha Johnson</t>
        </is>
      </c>
      <c r="E5" s="6" t="inlineStr">
        <is>
          <t>IT Support Spec</t>
        </is>
      </c>
      <c r="F5" s="6" t="inlineStr">
        <is>
          <t>M. Kim</t>
        </is>
      </c>
      <c r="G5" s="34" t="n">
        <v>5</v>
      </c>
      <c r="H5" s="34" t="n">
        <v>5</v>
      </c>
      <c r="I5" s="34" t="n">
        <v>4</v>
      </c>
      <c r="J5" s="34" t="n">
        <v>5</v>
      </c>
      <c r="K5" s="34" t="n">
        <v>4</v>
      </c>
      <c r="L5" s="34" t="n">
        <v>4</v>
      </c>
      <c r="M5" s="43">
        <f>ROUND((G5*0.15+H5*0.2+I5*0.2+J5*0.15+K5*0.15+L5*0.15)*20,1)</f>
        <v/>
      </c>
      <c r="N5" s="124" t="inlineStr">
        <is>
          <t>Strong Hire</t>
        </is>
      </c>
      <c r="O5" s="6" t="inlineStr">
        <is>
          <t>Deep technical knowledge, certs current</t>
        </is>
      </c>
      <c r="P5" s="6" t="inlineStr">
        <is>
          <t>Relocating soon</t>
        </is>
      </c>
      <c r="Q5" s="9" t="inlineStr"/>
    </row>
    <row r="6">
      <c r="A6" s="10" t="inlineStr">
        <is>
          <t>INT-004</t>
        </is>
      </c>
      <c r="B6" s="28" t="n">
        <v>46114</v>
      </c>
      <c r="C6" s="11" t="inlineStr">
        <is>
          <t>C-004</t>
        </is>
      </c>
      <c r="D6" s="11" t="inlineStr">
        <is>
          <t>Robert Williams</t>
        </is>
      </c>
      <c r="E6" s="11" t="inlineStr">
        <is>
          <t>Sr. Analyst</t>
        </is>
      </c>
      <c r="F6" s="11" t="inlineStr">
        <is>
          <t>T. Washington</t>
        </is>
      </c>
      <c r="G6" s="36" t="n">
        <v>4</v>
      </c>
      <c r="H6" s="36" t="n">
        <v>4</v>
      </c>
      <c r="I6" s="36" t="n">
        <v>4</v>
      </c>
      <c r="J6" s="36" t="n">
        <v>4</v>
      </c>
      <c r="K6" s="36" t="n">
        <v>4</v>
      </c>
      <c r="L6" s="36" t="n">
        <v>3</v>
      </c>
      <c r="M6" s="44">
        <f>ROUND((G6*0.15+H6*0.2+I6*0.2+J6*0.15+K6*0.15+L6*0.15)*20,1)</f>
        <v/>
      </c>
      <c r="N6" s="124" t="inlineStr">
        <is>
          <t>Hire</t>
        </is>
      </c>
      <c r="O6" s="11" t="inlineStr">
        <is>
          <t>Solid analytical background</t>
        </is>
      </c>
      <c r="P6" s="11" t="inlineStr">
        <is>
          <t>Remote readiness needs setup</t>
        </is>
      </c>
      <c r="Q6" s="14" t="inlineStr"/>
    </row>
    <row r="7">
      <c r="A7" s="5" t="inlineStr">
        <is>
          <t>INT-005</t>
        </is>
      </c>
      <c r="B7" s="27" t="n">
        <v>46115</v>
      </c>
      <c r="C7" s="6" t="inlineStr">
        <is>
          <t>C-005</t>
        </is>
      </c>
      <c r="D7" s="6" t="inlineStr">
        <is>
          <t>Priya Sharma</t>
        </is>
      </c>
      <c r="E7" s="6" t="inlineStr">
        <is>
          <t>Data Entry Clerk</t>
        </is>
      </c>
      <c r="F7" s="6" t="inlineStr">
        <is>
          <t>L. Chen</t>
        </is>
      </c>
      <c r="G7" s="34" t="n">
        <v>3</v>
      </c>
      <c r="H7" s="34" t="n">
        <v>3</v>
      </c>
      <c r="I7" s="34" t="n">
        <v>3</v>
      </c>
      <c r="J7" s="34" t="n">
        <v>4</v>
      </c>
      <c r="K7" s="34" t="n">
        <v>4</v>
      </c>
      <c r="L7" s="34" t="n">
        <v>4</v>
      </c>
      <c r="M7" s="43">
        <f>ROUND((G7*0.15+H7*0.2+I7*0.2+J7*0.15+K7*0.15+L7*0.15)*20,1)</f>
        <v/>
      </c>
      <c r="N7" s="124" t="inlineStr">
        <is>
          <t>Hire</t>
        </is>
      </c>
      <c r="O7" s="6" t="inlineStr">
        <is>
          <t>Accurate and detail-oriented</t>
        </is>
      </c>
      <c r="P7" s="6" t="inlineStr">
        <is>
          <t>Speed below benchmark</t>
        </is>
      </c>
      <c r="Q7" s="9" t="inlineStr"/>
    </row>
    <row r="8">
      <c r="A8" s="10" t="inlineStr">
        <is>
          <t>INT-006</t>
        </is>
      </c>
      <c r="B8" s="28" t="n">
        <v>46116</v>
      </c>
      <c r="C8" s="11" t="inlineStr">
        <is>
          <t>C-006</t>
        </is>
      </c>
      <c r="D8" s="11" t="inlineStr">
        <is>
          <t>David Thompson</t>
        </is>
      </c>
      <c r="E8" s="11" t="inlineStr">
        <is>
          <t>QA Specialist</t>
        </is>
      </c>
      <c r="F8" s="11" t="inlineStr">
        <is>
          <t>M. Kim</t>
        </is>
      </c>
      <c r="G8" s="36" t="n">
        <v>4</v>
      </c>
      <c r="H8" s="36" t="n">
        <v>4</v>
      </c>
      <c r="I8" s="36" t="n">
        <v>5</v>
      </c>
      <c r="J8" s="36" t="n">
        <v>4</v>
      </c>
      <c r="K8" s="36" t="n">
        <v>5</v>
      </c>
      <c r="L8" s="36" t="n">
        <v>4</v>
      </c>
      <c r="M8" s="44">
        <f>ROUND((G8*0.15+H8*0.2+I8*0.2+J8*0.15+K8*0.15+L8*0.15)*20,1)</f>
        <v/>
      </c>
      <c r="N8" s="124" t="inlineStr">
        <is>
          <t>Strong Hire</t>
        </is>
      </c>
      <c r="O8" s="11" t="inlineStr">
        <is>
          <t>QA methodology expert</t>
        </is>
      </c>
      <c r="P8" s="11" t="inlineStr">
        <is>
          <t>None noted</t>
        </is>
      </c>
      <c r="Q8" s="14" t="inlineStr"/>
    </row>
    <row r="9">
      <c r="A9" s="5" t="inlineStr">
        <is>
          <t>INT-007</t>
        </is>
      </c>
      <c r="B9" s="27" t="n">
        <v>46119</v>
      </c>
      <c r="C9" s="6" t="inlineStr">
        <is>
          <t>C-007</t>
        </is>
      </c>
      <c r="D9" s="6" t="inlineStr">
        <is>
          <t>Sarah Brown</t>
        </is>
      </c>
      <c r="E9" s="6" t="inlineStr">
        <is>
          <t>Case Analyst</t>
        </is>
      </c>
      <c r="F9" s="6" t="inlineStr">
        <is>
          <t>T. Washington</t>
        </is>
      </c>
      <c r="G9" s="34" t="n">
        <v>4</v>
      </c>
      <c r="H9" s="34" t="n">
        <v>3</v>
      </c>
      <c r="I9" s="34" t="n">
        <v>4</v>
      </c>
      <c r="J9" s="34" t="n">
        <v>4</v>
      </c>
      <c r="K9" s="34" t="n">
        <v>4</v>
      </c>
      <c r="L9" s="34" t="n">
        <v>4</v>
      </c>
      <c r="M9" s="43">
        <f>ROUND((G9*0.15+H9*0.2+I9*0.2+J9*0.15+K9*0.15+L9*0.15)*20,1)</f>
        <v/>
      </c>
      <c r="N9" s="124" t="inlineStr">
        <is>
          <t>Hire</t>
        </is>
      </c>
      <c r="O9" s="6" t="inlineStr">
        <is>
          <t>Eager learner, positive attitude</t>
        </is>
      </c>
      <c r="P9" s="6" t="inlineStr">
        <is>
          <t>Needs training on systems</t>
        </is>
      </c>
      <c r="Q9" s="9" t="inlineStr"/>
    </row>
    <row r="10">
      <c r="A10" s="10" t="inlineStr">
        <is>
          <t>INT-008</t>
        </is>
      </c>
      <c r="B10" s="28" t="n">
        <v>46120</v>
      </c>
      <c r="C10" s="11" t="inlineStr">
        <is>
          <t>C-008</t>
        </is>
      </c>
      <c r="D10" s="11" t="inlineStr">
        <is>
          <t>Michael Davis</t>
        </is>
      </c>
      <c r="E10" s="11" t="inlineStr">
        <is>
          <t>Security Analyst</t>
        </is>
      </c>
      <c r="F10" s="11" t="inlineStr">
        <is>
          <t>L. Chen</t>
        </is>
      </c>
      <c r="G10" s="36" t="n">
        <v>5</v>
      </c>
      <c r="H10" s="36" t="n">
        <v>5</v>
      </c>
      <c r="I10" s="36" t="n">
        <v>5</v>
      </c>
      <c r="J10" s="36" t="n">
        <v>5</v>
      </c>
      <c r="K10" s="36" t="n">
        <v>4</v>
      </c>
      <c r="L10" s="36" t="n">
        <v>4</v>
      </c>
      <c r="M10" s="44">
        <f>ROUND((G10*0.15+H10*0.2+I10*0.2+J10*0.15+K10*0.15+L10*0.15)*20,1)</f>
        <v/>
      </c>
      <c r="N10" s="124" t="inlineStr">
        <is>
          <t>Strong Hire</t>
        </is>
      </c>
      <c r="O10" s="11" t="inlineStr">
        <is>
          <t>Exceptional security knowledge</t>
        </is>
      </c>
      <c r="P10" s="11" t="inlineStr">
        <is>
          <t>TS clearance timeline</t>
        </is>
      </c>
      <c r="Q10" s="14" t="inlineStr"/>
    </row>
    <row r="11">
      <c r="A11" s="5" t="inlineStr">
        <is>
          <t>INT-009</t>
        </is>
      </c>
      <c r="B11" s="27" t="n">
        <v>46121</v>
      </c>
      <c r="C11" s="6" t="inlineStr">
        <is>
          <t>C-009</t>
        </is>
      </c>
      <c r="D11" s="6" t="inlineStr">
        <is>
          <t>Jennifer Garcia</t>
        </is>
      </c>
      <c r="E11" s="6" t="inlineStr">
        <is>
          <t>Program Support</t>
        </is>
      </c>
      <c r="F11" s="6" t="inlineStr">
        <is>
          <t>M. Kim</t>
        </is>
      </c>
      <c r="G11" s="34" t="n">
        <v>3</v>
      </c>
      <c r="H11" s="34" t="n">
        <v>3</v>
      </c>
      <c r="I11" s="34" t="n">
        <v>3</v>
      </c>
      <c r="J11" s="34" t="n">
        <v>3</v>
      </c>
      <c r="K11" s="34" t="n">
        <v>4</v>
      </c>
      <c r="L11" s="34" t="n">
        <v>4</v>
      </c>
      <c r="M11" s="43">
        <f>ROUND((G11*0.15+H11*0.2+I11*0.2+J11*0.15+K11*0.15+L11*0.15)*20,1)</f>
        <v/>
      </c>
      <c r="N11" s="6" t="inlineStr">
        <is>
          <t>Maybe</t>
        </is>
      </c>
      <c r="O11" s="6" t="inlineStr">
        <is>
          <t>Pleasant demeanor</t>
        </is>
      </c>
      <c r="P11" s="6" t="inlineStr">
        <is>
          <t>Lacks relevant experience</t>
        </is>
      </c>
      <c r="Q11" s="9" t="inlineStr">
        <is>
          <t>Withdrew after interview</t>
        </is>
      </c>
    </row>
    <row r="12">
      <c r="A12" s="10" t="inlineStr">
        <is>
          <t>INT-010</t>
        </is>
      </c>
      <c r="B12" s="28" t="n">
        <v>46122</v>
      </c>
      <c r="C12" s="11" t="inlineStr">
        <is>
          <t>C-010</t>
        </is>
      </c>
      <c r="D12" s="11" t="inlineStr">
        <is>
          <t>Kevin Lee</t>
        </is>
      </c>
      <c r="E12" s="11" t="inlineStr">
        <is>
          <t>Network Engineer</t>
        </is>
      </c>
      <c r="F12" s="11" t="inlineStr">
        <is>
          <t>T. Washington</t>
        </is>
      </c>
      <c r="G12" s="36" t="n">
        <v>4</v>
      </c>
      <c r="H12" s="36" t="n">
        <v>5</v>
      </c>
      <c r="I12" s="36" t="n">
        <v>4</v>
      </c>
      <c r="J12" s="36" t="n">
        <v>4</v>
      </c>
      <c r="K12" s="36" t="n">
        <v>3</v>
      </c>
      <c r="L12" s="36" t="n">
        <v>4</v>
      </c>
      <c r="M12" s="44">
        <f>ROUND((G12*0.15+H12*0.2+I12*0.2+J12*0.15+K12*0.15+L12*0.15)*20,1)</f>
        <v/>
      </c>
      <c r="N12" s="124" t="inlineStr">
        <is>
          <t>Hire</t>
        </is>
      </c>
      <c r="O12" s="11" t="inlineStr">
        <is>
          <t>Strong networking skills</t>
        </is>
      </c>
      <c r="P12" s="11" t="inlineStr">
        <is>
          <t>Limited remote tool experience</t>
        </is>
      </c>
      <c r="Q12" s="14" t="inlineStr"/>
    </row>
    <row r="13">
      <c r="A13" s="5" t="inlineStr">
        <is>
          <t>INT-011</t>
        </is>
      </c>
      <c r="B13" s="27" t="n">
        <v>46123</v>
      </c>
      <c r="C13" s="6" t="inlineStr">
        <is>
          <t>C-011</t>
        </is>
      </c>
      <c r="D13" s="6" t="inlineStr">
        <is>
          <t>Amanda Taylor</t>
        </is>
      </c>
      <c r="E13" s="6" t="inlineStr">
        <is>
          <t>Case Analyst</t>
        </is>
      </c>
      <c r="F13" s="6" t="inlineStr">
        <is>
          <t>L. Chen</t>
        </is>
      </c>
      <c r="G13" s="34" t="n">
        <v>5</v>
      </c>
      <c r="H13" s="34" t="n">
        <v>4</v>
      </c>
      <c r="I13" s="34" t="n">
        <v>4</v>
      </c>
      <c r="J13" s="34" t="n">
        <v>5</v>
      </c>
      <c r="K13" s="34" t="n">
        <v>5</v>
      </c>
      <c r="L13" s="34" t="n">
        <v>4</v>
      </c>
      <c r="M13" s="43">
        <f>ROUND((G13*0.15+H13*0.2+I13*0.2+J13*0.15+K13*0.15+L13*0.15)*20,1)</f>
        <v/>
      </c>
      <c r="N13" s="124" t="inlineStr">
        <is>
          <t>Strong Hire</t>
        </is>
      </c>
      <c r="O13" s="6" t="inlineStr">
        <is>
          <t>Outstanding communication</t>
        </is>
      </c>
      <c r="P13" s="6" t="inlineStr">
        <is>
          <t>None noted</t>
        </is>
      </c>
      <c r="Q13" s="9" t="inlineStr"/>
    </row>
    <row r="14">
      <c r="A14" s="10" t="inlineStr">
        <is>
          <t>INT-012</t>
        </is>
      </c>
      <c r="B14" s="28" t="n">
        <v>46126</v>
      </c>
      <c r="C14" s="11" t="inlineStr">
        <is>
          <t>C-012</t>
        </is>
      </c>
      <c r="D14" s="11" t="inlineStr">
        <is>
          <t>Carlos Rodriguez</t>
        </is>
      </c>
      <c r="E14" s="11" t="inlineStr">
        <is>
          <t>Sr. Case Analyst</t>
        </is>
      </c>
      <c r="F14" s="11" t="inlineStr">
        <is>
          <t>M. Kim</t>
        </is>
      </c>
      <c r="G14" s="36" t="n">
        <v>3</v>
      </c>
      <c r="H14" s="36" t="n">
        <v>4</v>
      </c>
      <c r="I14" s="36" t="n">
        <v>3</v>
      </c>
      <c r="J14" s="36" t="n">
        <v>4</v>
      </c>
      <c r="K14" s="36" t="n">
        <v>3</v>
      </c>
      <c r="L14" s="36" t="n">
        <v>4</v>
      </c>
      <c r="M14" s="44">
        <f>ROUND((G14*0.15+H14*0.2+I14*0.2+J14*0.15+K14*0.15+L14*0.15)*20,1)</f>
        <v/>
      </c>
      <c r="N14" s="11" t="inlineStr">
        <is>
          <t>Maybe</t>
        </is>
      </c>
      <c r="O14" s="11" t="inlineStr">
        <is>
          <t>Good technical skills</t>
        </is>
      </c>
      <c r="P14" s="11" t="inlineStr">
        <is>
          <t>Communication needs improvement</t>
        </is>
      </c>
      <c r="Q14" s="14" t="inlineStr">
        <is>
          <t>Second interview recommended</t>
        </is>
      </c>
    </row>
    <row r="15">
      <c r="A15" s="5" t="inlineStr">
        <is>
          <t>INT-013</t>
        </is>
      </c>
      <c r="B15" s="27" t="n">
        <v>46129</v>
      </c>
      <c r="C15" s="6" t="inlineStr">
        <is>
          <t>C-016</t>
        </is>
      </c>
      <c r="D15" s="6" t="inlineStr">
        <is>
          <t>Brian Harris</t>
        </is>
      </c>
      <c r="E15" s="6" t="inlineStr">
        <is>
          <t>Supervisor</t>
        </is>
      </c>
      <c r="F15" s="6" t="inlineStr">
        <is>
          <t>T. Washington</t>
        </is>
      </c>
      <c r="G15" s="34" t="n">
        <v>5</v>
      </c>
      <c r="H15" s="34" t="n">
        <v>4</v>
      </c>
      <c r="I15" s="34" t="n">
        <v>4</v>
      </c>
      <c r="J15" s="34" t="n">
        <v>5</v>
      </c>
      <c r="K15" s="34" t="n">
        <v>5</v>
      </c>
      <c r="L15" s="34" t="n">
        <v>4</v>
      </c>
      <c r="M15" s="43">
        <f>ROUND((G15*0.15+H15*0.2+I15*0.2+J15*0.15+K15*0.15+L15*0.15)*20,1)</f>
        <v/>
      </c>
      <c r="N15" s="124" t="inlineStr">
        <is>
          <t>Strong Hire</t>
        </is>
      </c>
      <c r="O15" s="6" t="inlineStr">
        <is>
          <t>Leadership experience, mentoring skills</t>
        </is>
      </c>
      <c r="P15" s="6" t="inlineStr">
        <is>
          <t>Salary expectations high</t>
        </is>
      </c>
      <c r="Q15" s="9" t="inlineStr"/>
    </row>
    <row r="16">
      <c r="A16" s="10" t="inlineStr">
        <is>
          <t>INT-014</t>
        </is>
      </c>
      <c r="B16" s="28" t="n">
        <v>46120</v>
      </c>
      <c r="C16" s="11" t="inlineStr">
        <is>
          <t>C-001</t>
        </is>
      </c>
      <c r="D16" s="11" t="inlineStr">
        <is>
          <t>Maria Santos</t>
        </is>
      </c>
      <c r="E16" s="11" t="inlineStr">
        <is>
          <t>Case Analyst</t>
        </is>
      </c>
      <c r="F16" s="11" t="inlineStr">
        <is>
          <t>L. Chen</t>
        </is>
      </c>
      <c r="G16" s="36" t="n">
        <v>4</v>
      </c>
      <c r="H16" s="36" t="n">
        <v>4</v>
      </c>
      <c r="I16" s="36" t="n">
        <v>5</v>
      </c>
      <c r="J16" s="36" t="n">
        <v>5</v>
      </c>
      <c r="K16" s="36" t="n">
        <v>4</v>
      </c>
      <c r="L16" s="36" t="n">
        <v>5</v>
      </c>
      <c r="M16" s="44">
        <f>ROUND((G16*0.15+H16*0.2+I16*0.2+J16*0.15+K16*0.15+L16*0.15)*20,1)</f>
        <v/>
      </c>
      <c r="N16" s="124" t="inlineStr">
        <is>
          <t>Strong Hire</t>
        </is>
      </c>
      <c r="O16" s="11" t="inlineStr">
        <is>
          <t>Confirmed strong fit</t>
        </is>
      </c>
      <c r="P16" s="11" t="inlineStr">
        <is>
          <t>None</t>
        </is>
      </c>
      <c r="Q16" s="14" t="inlineStr">
        <is>
          <t>Second opinion interview</t>
        </is>
      </c>
    </row>
    <row r="17">
      <c r="A17" s="15" t="inlineStr">
        <is>
          <t>INT-015</t>
        </is>
      </c>
      <c r="B17" s="29" t="n">
        <v>46122</v>
      </c>
      <c r="C17" s="16" t="inlineStr">
        <is>
          <t>C-004</t>
        </is>
      </c>
      <c r="D17" s="16" t="inlineStr">
        <is>
          <t>Robert Williams</t>
        </is>
      </c>
      <c r="E17" s="16" t="inlineStr">
        <is>
          <t>Sr. Analyst</t>
        </is>
      </c>
      <c r="F17" s="16" t="inlineStr">
        <is>
          <t>M. Kim</t>
        </is>
      </c>
      <c r="G17" s="38" t="n">
        <v>4</v>
      </c>
      <c r="H17" s="38" t="n">
        <v>4</v>
      </c>
      <c r="I17" s="38" t="n">
        <v>3</v>
      </c>
      <c r="J17" s="38" t="n">
        <v>4</v>
      </c>
      <c r="K17" s="38" t="n">
        <v>4</v>
      </c>
      <c r="L17" s="38" t="n">
        <v>4</v>
      </c>
      <c r="M17" s="45">
        <f>ROUND((G17*0.15+H17*0.2+I17*0.2+J17*0.15+K17*0.15+L17*0.15)*20,1)</f>
        <v/>
      </c>
      <c r="N17" s="129" t="inlineStr">
        <is>
          <t>Hire</t>
        </is>
      </c>
      <c r="O17" s="16" t="inlineStr">
        <is>
          <t>Analytical depth</t>
        </is>
      </c>
      <c r="P17" s="16" t="inlineStr">
        <is>
          <t>Problem solving average</t>
        </is>
      </c>
      <c r="Q17" s="19" t="inlineStr"/>
    </row>
  </sheetData>
  <mergeCells count="1">
    <mergeCell ref="A1:Q1"/>
  </mergeCells>
  <dataValidations count="2">
    <dataValidation sqref="G3:L17" showDropDown="0" showInputMessage="0" showErrorMessage="1" allowBlank="1" error="Score must be 1-5" type="whole" operator="between">
      <formula1>1</formula1>
      <formula2>5</formula2>
    </dataValidation>
    <dataValidation sqref="N3:N17" showDropDown="0" showInputMessage="0" showErrorMessage="0" allowBlank="1" type="list">
      <formula1>"Strong Hire,Hire,No Hire,Strong No Hire"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3" customWidth="1" min="15" max="15"/>
    <col width="13" customWidth="1" min="16" max="16"/>
    <col width="12" customWidth="1" min="17" max="17"/>
    <col width="16" customWidth="1" min="18" max="18"/>
    <col width="14" customWidth="1" min="19" max="19"/>
    <col width="14" customWidth="1" min="20" max="20"/>
    <col width="13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18" customWidth="1" min="27" max="27"/>
  </cols>
  <sheetData>
    <row r="1" ht="30" customHeight="1">
      <c r="A1" s="1" t="inlineStr">
        <is>
          <t>E-QIP / SECURITY CLEARANCE TRACKER</t>
        </is>
      </c>
    </row>
    <row r="2" ht="40" customHeight="1">
      <c r="A2" s="2" t="inlineStr">
        <is>
          <t>Employee ID</t>
        </is>
      </c>
      <c r="B2" s="3" t="inlineStr">
        <is>
          <t>Last Name</t>
        </is>
      </c>
      <c r="C2" s="3" t="inlineStr">
        <is>
          <t>First Name</t>
        </is>
      </c>
      <c r="D2" s="3" t="inlineStr">
        <is>
          <t>Position</t>
        </is>
      </c>
      <c r="E2" s="3" t="inlineStr">
        <is>
          <t>Clearance Level Required</t>
        </is>
      </c>
      <c r="F2" s="3" t="inlineStr">
        <is>
          <t>eQIP Account Created</t>
        </is>
      </c>
      <c r="G2" s="3" t="inlineStr">
        <is>
          <t>eQIP Acct Date</t>
        </is>
      </c>
      <c r="H2" s="3" t="inlineStr">
        <is>
          <t>OF-306 Submitted</t>
        </is>
      </c>
      <c r="I2" s="3" t="inlineStr">
        <is>
          <t>OF-306 Date</t>
        </is>
      </c>
      <c r="J2" s="3" t="inlineStr">
        <is>
          <t>eQIP Initiated Date</t>
        </is>
      </c>
      <c r="K2" s="3" t="inlineStr">
        <is>
          <t>eQIP Submitted Date</t>
        </is>
      </c>
      <c r="L2" s="3" t="inlineStr">
        <is>
          <t>Agency Received Date</t>
        </is>
      </c>
      <c r="M2" s="3" t="inlineStr">
        <is>
          <t>Fingerprints Scheduled</t>
        </is>
      </c>
      <c r="N2" s="3" t="inlineStr">
        <is>
          <t>Fingerprints Completed</t>
        </is>
      </c>
      <c r="O2" s="3" t="inlineStr">
        <is>
          <t>Interim Requested</t>
        </is>
      </c>
      <c r="P2" s="3" t="inlineStr">
        <is>
          <t>Interim Decision</t>
        </is>
      </c>
      <c r="Q2" s="3" t="inlineStr">
        <is>
          <t>Interim Date</t>
        </is>
      </c>
      <c r="R2" s="3" t="inlineStr">
        <is>
          <t>Investigation Opened</t>
        </is>
      </c>
      <c r="S2" s="3" t="inlineStr">
        <is>
          <t>Investigation Type</t>
        </is>
      </c>
      <c r="T2" s="3" t="inlineStr">
        <is>
          <t>Adjudication Date</t>
        </is>
      </c>
      <c r="U2" s="3" t="inlineStr">
        <is>
          <t>Final Decision</t>
        </is>
      </c>
      <c r="V2" s="3" t="inlineStr">
        <is>
          <t>Final Clearance Date</t>
        </is>
      </c>
      <c r="W2" s="3" t="inlineStr">
        <is>
          <t>Expiration Date</t>
        </is>
      </c>
      <c r="X2" s="3" t="inlineStr">
        <is>
          <t>Continuous Eval</t>
        </is>
      </c>
      <c r="Y2" s="3" t="inlineStr">
        <is>
          <t>Status</t>
        </is>
      </c>
      <c r="Z2" s="3" t="inlineStr">
        <is>
          <t>Days in Stage</t>
        </is>
      </c>
      <c r="AA2" s="4" t="inlineStr">
        <is>
          <t>Notes</t>
        </is>
      </c>
    </row>
    <row r="3">
      <c r="A3" s="5" t="inlineStr">
        <is>
          <t>E-001</t>
        </is>
      </c>
      <c r="B3" s="6" t="inlineStr">
        <is>
          <t>Santos</t>
        </is>
      </c>
      <c r="C3" s="6" t="inlineStr">
        <is>
          <t>Maria</t>
        </is>
      </c>
      <c r="D3" s="6" t="inlineStr">
        <is>
          <t>Case Analyst</t>
        </is>
      </c>
      <c r="E3" s="6" t="inlineStr">
        <is>
          <t>Public Trust</t>
        </is>
      </c>
      <c r="F3" s="6" t="inlineStr">
        <is>
          <t>Y</t>
        </is>
      </c>
      <c r="G3" s="27" t="n">
        <v>46109</v>
      </c>
      <c r="H3" s="6" t="inlineStr">
        <is>
          <t>Y</t>
        </is>
      </c>
      <c r="I3" s="27" t="n">
        <v>46110</v>
      </c>
      <c r="J3" s="27" t="n">
        <v>46111</v>
      </c>
      <c r="K3" s="27" t="n">
        <v>46113</v>
      </c>
      <c r="L3" s="27" t="n">
        <v>46114</v>
      </c>
      <c r="M3" s="27" t="n">
        <v>46115</v>
      </c>
      <c r="N3" s="27" t="n">
        <v>46115</v>
      </c>
      <c r="O3" s="6" t="inlineStr">
        <is>
          <t>N</t>
        </is>
      </c>
      <c r="P3" s="6" t="inlineStr"/>
      <c r="Q3" s="27" t="inlineStr"/>
      <c r="R3" s="27" t="n">
        <v>46117</v>
      </c>
      <c r="S3" s="6" t="inlineStr">
        <is>
          <t>T1</t>
        </is>
      </c>
      <c r="T3" s="27" t="n">
        <v>46124</v>
      </c>
      <c r="U3" s="6" t="inlineStr">
        <is>
          <t>Favorable</t>
        </is>
      </c>
      <c r="V3" s="27" t="n">
        <v>46124</v>
      </c>
      <c r="W3" s="27" t="n">
        <v>47950</v>
      </c>
      <c r="X3" s="6" t="inlineStr">
        <is>
          <t>Y</t>
        </is>
      </c>
      <c r="Y3" s="6" t="inlineStr">
        <is>
          <t>Complete</t>
        </is>
      </c>
      <c r="Z3" s="40" t="n">
        <v>0</v>
      </c>
      <c r="AA3" s="9" t="inlineStr"/>
    </row>
    <row r="4">
      <c r="A4" s="10" t="inlineStr">
        <is>
          <t>E-002</t>
        </is>
      </c>
      <c r="B4" s="11" t="inlineStr">
        <is>
          <t>Mitchell</t>
        </is>
      </c>
      <c r="C4" s="11" t="inlineStr">
        <is>
          <t>James</t>
        </is>
      </c>
      <c r="D4" s="11" t="inlineStr">
        <is>
          <t>Program Support</t>
        </is>
      </c>
      <c r="E4" s="11" t="inlineStr">
        <is>
          <t>Public Trust</t>
        </is>
      </c>
      <c r="F4" s="11" t="inlineStr">
        <is>
          <t>Y</t>
        </is>
      </c>
      <c r="G4" s="28" t="n">
        <v>46110</v>
      </c>
      <c r="H4" s="11" t="inlineStr">
        <is>
          <t>Y</t>
        </is>
      </c>
      <c r="I4" s="28" t="n">
        <v>46111</v>
      </c>
      <c r="J4" s="28" t="n">
        <v>46112</v>
      </c>
      <c r="K4" s="28" t="n">
        <v>46114</v>
      </c>
      <c r="L4" s="28" t="n">
        <v>46115</v>
      </c>
      <c r="M4" s="28" t="n">
        <v>46116</v>
      </c>
      <c r="N4" s="28" t="n">
        <v>46116</v>
      </c>
      <c r="O4" s="11" t="inlineStr">
        <is>
          <t>N</t>
        </is>
      </c>
      <c r="P4" s="11" t="inlineStr"/>
      <c r="Q4" s="28" t="inlineStr"/>
      <c r="R4" s="28" t="n">
        <v>46118</v>
      </c>
      <c r="S4" s="11" t="inlineStr">
        <is>
          <t>T1</t>
        </is>
      </c>
      <c r="T4" s="28" t="n">
        <v>46126</v>
      </c>
      <c r="U4" s="11" t="inlineStr">
        <is>
          <t>Favorable</t>
        </is>
      </c>
      <c r="V4" s="28" t="n">
        <v>46126</v>
      </c>
      <c r="W4" s="28" t="n">
        <v>47952</v>
      </c>
      <c r="X4" s="11" t="inlineStr">
        <is>
          <t>Y</t>
        </is>
      </c>
      <c r="Y4" s="11" t="inlineStr">
        <is>
          <t>Complete</t>
        </is>
      </c>
      <c r="Z4" s="41" t="n">
        <v>0</v>
      </c>
      <c r="AA4" s="14" t="inlineStr"/>
    </row>
    <row r="5">
      <c r="A5" s="5" t="inlineStr">
        <is>
          <t>E-003</t>
        </is>
      </c>
      <c r="B5" s="6" t="inlineStr">
        <is>
          <t>Johnson</t>
        </is>
      </c>
      <c r="C5" s="6" t="inlineStr">
        <is>
          <t>Aisha</t>
        </is>
      </c>
      <c r="D5" s="6" t="inlineStr">
        <is>
          <t>IT Support Spec</t>
        </is>
      </c>
      <c r="E5" s="6" t="inlineStr">
        <is>
          <t>Secret</t>
        </is>
      </c>
      <c r="F5" s="6" t="inlineStr">
        <is>
          <t>Y</t>
        </is>
      </c>
      <c r="G5" s="27" t="n">
        <v>46111</v>
      </c>
      <c r="H5" s="6" t="inlineStr">
        <is>
          <t>Y</t>
        </is>
      </c>
      <c r="I5" s="27" t="n">
        <v>46112</v>
      </c>
      <c r="J5" s="27" t="n">
        <v>46113</v>
      </c>
      <c r="K5" s="27" t="n">
        <v>46115</v>
      </c>
      <c r="L5" s="27" t="n">
        <v>46116</v>
      </c>
      <c r="M5" s="27" t="n">
        <v>46117</v>
      </c>
      <c r="N5" s="27" t="n">
        <v>46117</v>
      </c>
      <c r="O5" s="6" t="inlineStr">
        <is>
          <t>Y</t>
        </is>
      </c>
      <c r="P5" s="6" t="inlineStr">
        <is>
          <t>Granted</t>
        </is>
      </c>
      <c r="Q5" s="27" t="n">
        <v>46119</v>
      </c>
      <c r="R5" s="27" t="n">
        <v>46120</v>
      </c>
      <c r="S5" s="6" t="inlineStr">
        <is>
          <t>T3</t>
        </is>
      </c>
      <c r="T5" s="27" t="n"/>
      <c r="U5" s="6" t="inlineStr"/>
      <c r="V5" s="27" t="inlineStr"/>
      <c r="W5" s="27" t="n"/>
      <c r="X5" s="6" t="inlineStr">
        <is>
          <t>N</t>
        </is>
      </c>
      <c r="Y5" s="6" t="inlineStr">
        <is>
          <t>Investigation</t>
        </is>
      </c>
      <c r="Z5" s="40" t="n">
        <v>12</v>
      </c>
      <c r="AA5" s="9" t="inlineStr">
        <is>
          <t>Interim granted</t>
        </is>
      </c>
    </row>
    <row r="6">
      <c r="A6" s="10" t="inlineStr">
        <is>
          <t>E-004</t>
        </is>
      </c>
      <c r="B6" s="11" t="inlineStr">
        <is>
          <t>Williams</t>
        </is>
      </c>
      <c r="C6" s="11" t="inlineStr">
        <is>
          <t>Robert</t>
        </is>
      </c>
      <c r="D6" s="11" t="inlineStr">
        <is>
          <t>Sr. Analyst</t>
        </is>
      </c>
      <c r="E6" s="11" t="inlineStr">
        <is>
          <t>Secret</t>
        </is>
      </c>
      <c r="F6" s="11" t="inlineStr">
        <is>
          <t>Y</t>
        </is>
      </c>
      <c r="G6" s="28" t="n">
        <v>46113</v>
      </c>
      <c r="H6" s="11" t="inlineStr">
        <is>
          <t>Y</t>
        </is>
      </c>
      <c r="I6" s="28" t="n">
        <v>46114</v>
      </c>
      <c r="J6" s="28" t="n">
        <v>46115</v>
      </c>
      <c r="K6" s="28" t="n">
        <v>46117</v>
      </c>
      <c r="L6" s="28" t="n">
        <v>46118</v>
      </c>
      <c r="M6" s="28" t="n">
        <v>46119</v>
      </c>
      <c r="N6" s="28" t="n">
        <v>46119</v>
      </c>
      <c r="O6" s="11" t="inlineStr">
        <is>
          <t>Y</t>
        </is>
      </c>
      <c r="P6" s="11" t="inlineStr">
        <is>
          <t>Pending</t>
        </is>
      </c>
      <c r="Q6" s="28" t="n"/>
      <c r="R6" s="28" t="n"/>
      <c r="S6" s="11" t="inlineStr">
        <is>
          <t>T3</t>
        </is>
      </c>
      <c r="T6" s="28" t="n"/>
      <c r="U6" s="11" t="inlineStr"/>
      <c r="V6" s="28" t="inlineStr"/>
      <c r="W6" s="28" t="n"/>
      <c r="X6" s="11" t="inlineStr">
        <is>
          <t>N</t>
        </is>
      </c>
      <c r="Y6" s="11" t="inlineStr">
        <is>
          <t>Interim Pending</t>
        </is>
      </c>
      <c r="Z6" s="41" t="n">
        <v>14</v>
      </c>
      <c r="AA6" s="14" t="inlineStr">
        <is>
          <t>Awaiting interim decision</t>
        </is>
      </c>
    </row>
    <row r="7">
      <c r="A7" s="5" t="inlineStr">
        <is>
          <t>E-005</t>
        </is>
      </c>
      <c r="B7" s="6" t="inlineStr">
        <is>
          <t>Sharma</t>
        </is>
      </c>
      <c r="C7" s="6" t="inlineStr">
        <is>
          <t>Priya</t>
        </is>
      </c>
      <c r="D7" s="6" t="inlineStr">
        <is>
          <t>Data Entry Clerk</t>
        </is>
      </c>
      <c r="E7" s="6" t="inlineStr">
        <is>
          <t>Public Trust</t>
        </is>
      </c>
      <c r="F7" s="6" t="inlineStr">
        <is>
          <t>Y</t>
        </is>
      </c>
      <c r="G7" s="27" t="n">
        <v>46114</v>
      </c>
      <c r="H7" s="6" t="inlineStr">
        <is>
          <t>Y</t>
        </is>
      </c>
      <c r="I7" s="27" t="n">
        <v>46115</v>
      </c>
      <c r="J7" s="27" t="n">
        <v>46116</v>
      </c>
      <c r="K7" s="27" t="n">
        <v>46118</v>
      </c>
      <c r="L7" s="27" t="n">
        <v>46119</v>
      </c>
      <c r="M7" s="27" t="n">
        <v>46120</v>
      </c>
      <c r="N7" s="27" t="n">
        <v>46120</v>
      </c>
      <c r="O7" s="6" t="inlineStr">
        <is>
          <t>N</t>
        </is>
      </c>
      <c r="P7" s="6" t="inlineStr"/>
      <c r="Q7" s="27" t="inlineStr"/>
      <c r="R7" s="27" t="n">
        <v>46121</v>
      </c>
      <c r="S7" s="6" t="inlineStr">
        <is>
          <t>T1</t>
        </is>
      </c>
      <c r="T7" s="27" t="n">
        <v>46128</v>
      </c>
      <c r="U7" s="6" t="inlineStr">
        <is>
          <t>Favorable</t>
        </is>
      </c>
      <c r="V7" s="27" t="n">
        <v>46128</v>
      </c>
      <c r="W7" s="27" t="n">
        <v>47954</v>
      </c>
      <c r="X7" s="6" t="inlineStr">
        <is>
          <t>Y</t>
        </is>
      </c>
      <c r="Y7" s="6" t="inlineStr">
        <is>
          <t>Complete</t>
        </is>
      </c>
      <c r="Z7" s="40" t="n">
        <v>0</v>
      </c>
      <c r="AA7" s="9" t="inlineStr"/>
    </row>
    <row r="8">
      <c r="A8" s="10" t="inlineStr">
        <is>
          <t>E-006</t>
        </is>
      </c>
      <c r="B8" s="11" t="inlineStr">
        <is>
          <t>Thompson</t>
        </is>
      </c>
      <c r="C8" s="11" t="inlineStr">
        <is>
          <t>David</t>
        </is>
      </c>
      <c r="D8" s="11" t="inlineStr">
        <is>
          <t>QA Specialist</t>
        </is>
      </c>
      <c r="E8" s="11" t="inlineStr">
        <is>
          <t>Public Trust</t>
        </is>
      </c>
      <c r="F8" s="11" t="inlineStr">
        <is>
          <t>Y</t>
        </is>
      </c>
      <c r="G8" s="28" t="n">
        <v>46115</v>
      </c>
      <c r="H8" s="11" t="inlineStr">
        <is>
          <t>Y</t>
        </is>
      </c>
      <c r="I8" s="28" t="n">
        <v>46116</v>
      </c>
      <c r="J8" s="28" t="n">
        <v>46117</v>
      </c>
      <c r="K8" s="28" t="n">
        <v>46119</v>
      </c>
      <c r="L8" s="28" t="n">
        <v>46120</v>
      </c>
      <c r="M8" s="28" t="n">
        <v>46121</v>
      </c>
      <c r="N8" s="28" t="n">
        <v>46121</v>
      </c>
      <c r="O8" s="11" t="inlineStr">
        <is>
          <t>N</t>
        </is>
      </c>
      <c r="P8" s="11" t="inlineStr"/>
      <c r="Q8" s="28" t="inlineStr"/>
      <c r="R8" s="28" t="n">
        <v>46122</v>
      </c>
      <c r="S8" s="11" t="inlineStr">
        <is>
          <t>T1</t>
        </is>
      </c>
      <c r="T8" s="28" t="n">
        <v>46130</v>
      </c>
      <c r="U8" s="11" t="inlineStr">
        <is>
          <t>Favorable</t>
        </is>
      </c>
      <c r="V8" s="28" t="n">
        <v>46130</v>
      </c>
      <c r="W8" s="28" t="n">
        <v>47956</v>
      </c>
      <c r="X8" s="11" t="inlineStr">
        <is>
          <t>Y</t>
        </is>
      </c>
      <c r="Y8" s="11" t="inlineStr">
        <is>
          <t>Complete</t>
        </is>
      </c>
      <c r="Z8" s="41" t="n">
        <v>0</v>
      </c>
      <c r="AA8" s="14" t="inlineStr"/>
    </row>
    <row r="9">
      <c r="A9" s="5" t="inlineStr">
        <is>
          <t>E-007</t>
        </is>
      </c>
      <c r="B9" s="6" t="inlineStr">
        <is>
          <t>Brown</t>
        </is>
      </c>
      <c r="C9" s="6" t="inlineStr">
        <is>
          <t>Sarah</t>
        </is>
      </c>
      <c r="D9" s="6" t="inlineStr">
        <is>
          <t>Case Analyst</t>
        </is>
      </c>
      <c r="E9" s="6" t="inlineStr">
        <is>
          <t>Public Trust</t>
        </is>
      </c>
      <c r="F9" s="6" t="inlineStr">
        <is>
          <t>Y</t>
        </is>
      </c>
      <c r="G9" s="27" t="n">
        <v>46117</v>
      </c>
      <c r="H9" s="6" t="inlineStr">
        <is>
          <t>Y</t>
        </is>
      </c>
      <c r="I9" s="27" t="n">
        <v>46118</v>
      </c>
      <c r="J9" s="27" t="n">
        <v>46119</v>
      </c>
      <c r="K9" s="27" t="n">
        <v>46121</v>
      </c>
      <c r="L9" s="27" t="n">
        <v>46122</v>
      </c>
      <c r="M9" s="27" t="n"/>
      <c r="N9" s="27" t="n"/>
      <c r="O9" s="6" t="inlineStr">
        <is>
          <t>N</t>
        </is>
      </c>
      <c r="P9" s="6" t="inlineStr"/>
      <c r="Q9" s="27" t="inlineStr"/>
      <c r="R9" s="27" t="n"/>
      <c r="S9" s="6" t="inlineStr">
        <is>
          <t>T1</t>
        </is>
      </c>
      <c r="T9" s="27" t="n"/>
      <c r="U9" s="6" t="inlineStr"/>
      <c r="V9" s="27" t="inlineStr"/>
      <c r="W9" s="27" t="n"/>
      <c r="X9" s="6" t="inlineStr">
        <is>
          <t>N</t>
        </is>
      </c>
      <c r="Y9" s="6" t="inlineStr">
        <is>
          <t>Submitted</t>
        </is>
      </c>
      <c r="Z9" s="40" t="n">
        <v>10</v>
      </c>
      <c r="AA9" s="9" t="inlineStr"/>
    </row>
    <row r="10">
      <c r="A10" s="10" t="inlineStr">
        <is>
          <t>E-008</t>
        </is>
      </c>
      <c r="B10" s="11" t="inlineStr">
        <is>
          <t>Davis</t>
        </is>
      </c>
      <c r="C10" s="11" t="inlineStr">
        <is>
          <t>Michael</t>
        </is>
      </c>
      <c r="D10" s="11" t="inlineStr">
        <is>
          <t>Security Analyst</t>
        </is>
      </c>
      <c r="E10" s="11" t="inlineStr">
        <is>
          <t>TS</t>
        </is>
      </c>
      <c r="F10" s="11" t="inlineStr">
        <is>
          <t>Y</t>
        </is>
      </c>
      <c r="G10" s="28" t="n">
        <v>46118</v>
      </c>
      <c r="H10" s="11" t="inlineStr">
        <is>
          <t>Y</t>
        </is>
      </c>
      <c r="I10" s="28" t="n">
        <v>46119</v>
      </c>
      <c r="J10" s="28" t="n">
        <v>46120</v>
      </c>
      <c r="K10" s="28" t="n">
        <v>46122</v>
      </c>
      <c r="L10" s="28" t="n"/>
      <c r="M10" s="28" t="n">
        <v>46124</v>
      </c>
      <c r="N10" s="28" t="n"/>
      <c r="O10" s="11" t="inlineStr">
        <is>
          <t>Y</t>
        </is>
      </c>
      <c r="P10" s="11" t="inlineStr">
        <is>
          <t>Pending</t>
        </is>
      </c>
      <c r="Q10" s="28" t="n"/>
      <c r="R10" s="28" t="n"/>
      <c r="S10" s="11" t="inlineStr">
        <is>
          <t>T5</t>
        </is>
      </c>
      <c r="T10" s="28" t="n"/>
      <c r="U10" s="11" t="inlineStr"/>
      <c r="V10" s="28" t="inlineStr"/>
      <c r="W10" s="28" t="n"/>
      <c r="X10" s="11" t="inlineStr">
        <is>
          <t>N</t>
        </is>
      </c>
      <c r="Y10" s="11" t="inlineStr">
        <is>
          <t>eQIP Submitted</t>
        </is>
      </c>
      <c r="Z10" s="41" t="n">
        <v>10</v>
      </c>
      <c r="AA10" s="14" t="inlineStr">
        <is>
          <t>TS timeline ~6-12 months</t>
        </is>
      </c>
    </row>
    <row r="11">
      <c r="A11" s="5" t="inlineStr">
        <is>
          <t>E-009</t>
        </is>
      </c>
      <c r="B11" s="6" t="inlineStr">
        <is>
          <t>Lee</t>
        </is>
      </c>
      <c r="C11" s="6" t="inlineStr">
        <is>
          <t>Kevin</t>
        </is>
      </c>
      <c r="D11" s="6" t="inlineStr">
        <is>
          <t>Network Engineer</t>
        </is>
      </c>
      <c r="E11" s="6" t="inlineStr">
        <is>
          <t>Secret</t>
        </is>
      </c>
      <c r="F11" s="6" t="inlineStr">
        <is>
          <t>Y</t>
        </is>
      </c>
      <c r="G11" s="27" t="n">
        <v>46120</v>
      </c>
      <c r="H11" s="6" t="inlineStr">
        <is>
          <t>Y</t>
        </is>
      </c>
      <c r="I11" s="27" t="n">
        <v>46121</v>
      </c>
      <c r="J11" s="27" t="n">
        <v>46122</v>
      </c>
      <c r="K11" s="27" t="n"/>
      <c r="L11" s="27" t="n"/>
      <c r="M11" s="27" t="n"/>
      <c r="N11" s="27" t="n"/>
      <c r="O11" s="6" t="inlineStr">
        <is>
          <t>N</t>
        </is>
      </c>
      <c r="P11" s="6" t="inlineStr"/>
      <c r="Q11" s="27" t="inlineStr"/>
      <c r="R11" s="27" t="n"/>
      <c r="S11" s="6" t="inlineStr">
        <is>
          <t>T3</t>
        </is>
      </c>
      <c r="T11" s="27" t="n"/>
      <c r="U11" s="6" t="inlineStr"/>
      <c r="V11" s="27" t="inlineStr"/>
      <c r="W11" s="27" t="n"/>
      <c r="X11" s="6" t="inlineStr">
        <is>
          <t>N</t>
        </is>
      </c>
      <c r="Y11" s="6" t="inlineStr">
        <is>
          <t>eQIP Initiated</t>
        </is>
      </c>
      <c r="Z11" s="40" t="n">
        <v>10</v>
      </c>
      <c r="AA11" s="9" t="inlineStr"/>
    </row>
    <row r="12">
      <c r="A12" s="10" t="inlineStr">
        <is>
          <t>E-010</t>
        </is>
      </c>
      <c r="B12" s="11" t="inlineStr">
        <is>
          <t>Taylor</t>
        </is>
      </c>
      <c r="C12" s="11" t="inlineStr">
        <is>
          <t>Amanda</t>
        </is>
      </c>
      <c r="D12" s="11" t="inlineStr">
        <is>
          <t>Case Analyst</t>
        </is>
      </c>
      <c r="E12" s="11" t="inlineStr">
        <is>
          <t>Public Trust</t>
        </is>
      </c>
      <c r="F12" s="11" t="inlineStr">
        <is>
          <t>Y</t>
        </is>
      </c>
      <c r="G12" s="28" t="n">
        <v>46122</v>
      </c>
      <c r="H12" s="11" t="inlineStr">
        <is>
          <t>Y</t>
        </is>
      </c>
      <c r="I12" s="28" t="n">
        <v>46123</v>
      </c>
      <c r="J12" s="28" t="n">
        <v>46124</v>
      </c>
      <c r="K12" s="28" t="n"/>
      <c r="L12" s="28" t="n"/>
      <c r="M12" s="28" t="n"/>
      <c r="N12" s="28" t="n"/>
      <c r="O12" s="11" t="inlineStr">
        <is>
          <t>N</t>
        </is>
      </c>
      <c r="P12" s="11" t="inlineStr"/>
      <c r="Q12" s="28" t="inlineStr"/>
      <c r="R12" s="28" t="n"/>
      <c r="S12" s="11" t="inlineStr">
        <is>
          <t>T1</t>
        </is>
      </c>
      <c r="T12" s="28" t="n"/>
      <c r="U12" s="11" t="inlineStr"/>
      <c r="V12" s="28" t="inlineStr"/>
      <c r="W12" s="28" t="n"/>
      <c r="X12" s="11" t="inlineStr">
        <is>
          <t>N</t>
        </is>
      </c>
      <c r="Y12" s="11" t="inlineStr">
        <is>
          <t>OF-306 Submitted</t>
        </is>
      </c>
      <c r="Z12" s="41" t="n">
        <v>9</v>
      </c>
      <c r="AA12" s="14" t="inlineStr"/>
    </row>
    <row r="13">
      <c r="A13" s="5" t="inlineStr">
        <is>
          <t>E-011</t>
        </is>
      </c>
      <c r="B13" s="6" t="inlineStr">
        <is>
          <t>Harris</t>
        </is>
      </c>
      <c r="C13" s="6" t="inlineStr">
        <is>
          <t>Brian</t>
        </is>
      </c>
      <c r="D13" s="6" t="inlineStr">
        <is>
          <t>Supervisor</t>
        </is>
      </c>
      <c r="E13" s="6" t="inlineStr">
        <is>
          <t>Secret</t>
        </is>
      </c>
      <c r="F13" s="6" t="inlineStr">
        <is>
          <t>Y</t>
        </is>
      </c>
      <c r="G13" s="27" t="n">
        <v>46124</v>
      </c>
      <c r="H13" s="6" t="inlineStr">
        <is>
          <t>N</t>
        </is>
      </c>
      <c r="I13" s="27" t="n"/>
      <c r="J13" s="27" t="n"/>
      <c r="K13" s="27" t="n"/>
      <c r="L13" s="27" t="n"/>
      <c r="M13" s="27" t="n"/>
      <c r="N13" s="27" t="n"/>
      <c r="O13" s="6" t="inlineStr">
        <is>
          <t>N</t>
        </is>
      </c>
      <c r="P13" s="6" t="inlineStr"/>
      <c r="Q13" s="27" t="inlineStr"/>
      <c r="R13" s="27" t="n"/>
      <c r="S13" s="6" t="inlineStr">
        <is>
          <t>T3</t>
        </is>
      </c>
      <c r="T13" s="27" t="n"/>
      <c r="U13" s="6" t="inlineStr"/>
      <c r="V13" s="27" t="inlineStr"/>
      <c r="W13" s="27" t="n"/>
      <c r="X13" s="6" t="inlineStr">
        <is>
          <t>N</t>
        </is>
      </c>
      <c r="Y13" s="6" t="inlineStr">
        <is>
          <t>Account Created</t>
        </is>
      </c>
      <c r="Z13" s="40" t="n">
        <v>8</v>
      </c>
      <c r="AA13" s="9" t="inlineStr">
        <is>
          <t>Awaiting OF-306</t>
        </is>
      </c>
    </row>
    <row r="14">
      <c r="A14" s="10" t="inlineStr">
        <is>
          <t>E-012</t>
        </is>
      </c>
      <c r="B14" s="11" t="inlineStr">
        <is>
          <t>Rodriguez</t>
        </is>
      </c>
      <c r="C14" s="11" t="inlineStr">
        <is>
          <t>Carlos</t>
        </is>
      </c>
      <c r="D14" s="11" t="inlineStr">
        <is>
          <t>Sr. Case Analyst</t>
        </is>
      </c>
      <c r="E14" s="11" t="inlineStr">
        <is>
          <t>Secret</t>
        </is>
      </c>
      <c r="F14" s="11" t="inlineStr">
        <is>
          <t>N</t>
        </is>
      </c>
      <c r="G14" s="28" t="n"/>
      <c r="H14" s="11" t="inlineStr">
        <is>
          <t>N</t>
        </is>
      </c>
      <c r="I14" s="28" t="n"/>
      <c r="J14" s="28" t="n"/>
      <c r="K14" s="28" t="n"/>
      <c r="L14" s="28" t="n"/>
      <c r="M14" s="28" t="n"/>
      <c r="N14" s="28" t="n"/>
      <c r="O14" s="11" t="inlineStr">
        <is>
          <t>N</t>
        </is>
      </c>
      <c r="P14" s="11" t="inlineStr"/>
      <c r="Q14" s="28" t="inlineStr"/>
      <c r="R14" s="28" t="n"/>
      <c r="S14" s="11" t="inlineStr">
        <is>
          <t>T3</t>
        </is>
      </c>
      <c r="T14" s="28" t="n"/>
      <c r="U14" s="11" t="inlineStr"/>
      <c r="V14" s="28" t="inlineStr"/>
      <c r="W14" s="28" t="n"/>
      <c r="X14" s="11" t="inlineStr">
        <is>
          <t>N</t>
        </is>
      </c>
      <c r="Y14" s="11" t="inlineStr">
        <is>
          <t>Not Started</t>
        </is>
      </c>
      <c r="Z14" s="41" t="n">
        <v>6</v>
      </c>
      <c r="AA14" s="14" t="inlineStr">
        <is>
          <t>Pending hire decision</t>
        </is>
      </c>
    </row>
    <row r="15">
      <c r="A15" s="5" t="inlineStr">
        <is>
          <t>E-013</t>
        </is>
      </c>
      <c r="B15" s="6" t="inlineStr">
        <is>
          <t>Clark</t>
        </is>
      </c>
      <c r="C15" s="6" t="inlineStr">
        <is>
          <t>Nicole</t>
        </is>
      </c>
      <c r="D15" s="6" t="inlineStr">
        <is>
          <t>Data Entry Clerk</t>
        </is>
      </c>
      <c r="E15" s="6" t="inlineStr">
        <is>
          <t>Public Trust</t>
        </is>
      </c>
      <c r="F15" s="6" t="inlineStr">
        <is>
          <t>N</t>
        </is>
      </c>
      <c r="G15" s="27" t="n"/>
      <c r="H15" s="6" t="inlineStr">
        <is>
          <t>N</t>
        </is>
      </c>
      <c r="I15" s="27" t="n"/>
      <c r="J15" s="27" t="n"/>
      <c r="K15" s="27" t="n"/>
      <c r="L15" s="27" t="n"/>
      <c r="M15" s="27" t="n"/>
      <c r="N15" s="27" t="n"/>
      <c r="O15" s="6" t="inlineStr">
        <is>
          <t>N</t>
        </is>
      </c>
      <c r="P15" s="6" t="inlineStr"/>
      <c r="Q15" s="27" t="inlineStr"/>
      <c r="R15" s="27" t="n"/>
      <c r="S15" s="6" t="inlineStr">
        <is>
          <t>T1</t>
        </is>
      </c>
      <c r="T15" s="27" t="n"/>
      <c r="U15" s="6" t="inlineStr"/>
      <c r="V15" s="27" t="inlineStr"/>
      <c r="W15" s="27" t="n"/>
      <c r="X15" s="6" t="inlineStr">
        <is>
          <t>N</t>
        </is>
      </c>
      <c r="Y15" s="6" t="inlineStr">
        <is>
          <t>Not Started</t>
        </is>
      </c>
      <c r="Z15" s="40" t="n">
        <v>0</v>
      </c>
      <c r="AA15" s="9" t="inlineStr">
        <is>
          <t>Pending screening</t>
        </is>
      </c>
    </row>
    <row r="16">
      <c r="A16" s="10" t="inlineStr">
        <is>
          <t>E-014</t>
        </is>
      </c>
      <c r="B16" s="11" t="inlineStr">
        <is>
          <t>Lewis</t>
        </is>
      </c>
      <c r="C16" s="11" t="inlineStr">
        <is>
          <t>Anthony</t>
        </is>
      </c>
      <c r="D16" s="11" t="inlineStr">
        <is>
          <t>Case Analyst</t>
        </is>
      </c>
      <c r="E16" s="11" t="inlineStr">
        <is>
          <t>Public Trust</t>
        </is>
      </c>
      <c r="F16" s="11" t="inlineStr">
        <is>
          <t>N</t>
        </is>
      </c>
      <c r="G16" s="28" t="n"/>
      <c r="H16" s="11" t="inlineStr">
        <is>
          <t>N</t>
        </is>
      </c>
      <c r="I16" s="28" t="n"/>
      <c r="J16" s="28" t="n"/>
      <c r="K16" s="28" t="n"/>
      <c r="L16" s="28" t="n"/>
      <c r="M16" s="28" t="n"/>
      <c r="N16" s="28" t="n"/>
      <c r="O16" s="11" t="inlineStr">
        <is>
          <t>N</t>
        </is>
      </c>
      <c r="P16" s="11" t="inlineStr"/>
      <c r="Q16" s="28" t="inlineStr"/>
      <c r="R16" s="28" t="n"/>
      <c r="S16" s="11" t="inlineStr">
        <is>
          <t>T1</t>
        </is>
      </c>
      <c r="T16" s="28" t="n"/>
      <c r="U16" s="11" t="inlineStr"/>
      <c r="V16" s="28" t="inlineStr"/>
      <c r="W16" s="28" t="n"/>
      <c r="X16" s="11" t="inlineStr">
        <is>
          <t>N</t>
        </is>
      </c>
      <c r="Y16" s="11" t="inlineStr">
        <is>
          <t>Not Started</t>
        </is>
      </c>
      <c r="Z16" s="41" t="n">
        <v>0</v>
      </c>
      <c r="AA16" s="14" t="inlineStr">
        <is>
          <t>Pending screening</t>
        </is>
      </c>
    </row>
    <row r="17">
      <c r="A17" s="15" t="inlineStr">
        <is>
          <t>E-015</t>
        </is>
      </c>
      <c r="B17" s="16" t="inlineStr">
        <is>
          <t>Walker</t>
        </is>
      </c>
      <c r="C17" s="16" t="inlineStr">
        <is>
          <t>Michelle</t>
        </is>
      </c>
      <c r="D17" s="16" t="inlineStr">
        <is>
          <t>Program Analyst</t>
        </is>
      </c>
      <c r="E17" s="16" t="inlineStr">
        <is>
          <t>Secret</t>
        </is>
      </c>
      <c r="F17" s="16" t="inlineStr">
        <is>
          <t>N</t>
        </is>
      </c>
      <c r="G17" s="29" t="n"/>
      <c r="H17" s="16" t="inlineStr">
        <is>
          <t>N</t>
        </is>
      </c>
      <c r="I17" s="29" t="n"/>
      <c r="J17" s="29" t="n"/>
      <c r="K17" s="29" t="n"/>
      <c r="L17" s="29" t="n"/>
      <c r="M17" s="29" t="n"/>
      <c r="N17" s="29" t="n"/>
      <c r="O17" s="16" t="inlineStr">
        <is>
          <t>N</t>
        </is>
      </c>
      <c r="P17" s="16" t="inlineStr"/>
      <c r="Q17" s="29" t="inlineStr"/>
      <c r="R17" s="29" t="n"/>
      <c r="S17" s="16" t="inlineStr">
        <is>
          <t>T3</t>
        </is>
      </c>
      <c r="T17" s="29" t="n"/>
      <c r="U17" s="16" t="inlineStr"/>
      <c r="V17" s="29" t="inlineStr"/>
      <c r="W17" s="29" t="n"/>
      <c r="X17" s="16" t="inlineStr">
        <is>
          <t>N</t>
        </is>
      </c>
      <c r="Y17" s="16" t="inlineStr">
        <is>
          <t>Not Started</t>
        </is>
      </c>
      <c r="Z17" s="42" t="n">
        <v>0</v>
      </c>
      <c r="AA17" s="19" t="inlineStr">
        <is>
          <t>Not yet sourced</t>
        </is>
      </c>
    </row>
  </sheetData>
  <mergeCells count="1">
    <mergeCell ref="A1:AA1"/>
  </mergeCells>
  <dataValidations count="2">
    <dataValidation sqref="E3:E17" showDropDown="0" showInputMessage="0" showErrorMessage="0" allowBlank="1" type="list">
      <formula1>"Public Trust,Secret,TS,TS-SCI"</formula1>
    </dataValidation>
    <dataValidation sqref="S3:S17" showDropDown="0" showInputMessage="0" showErrorMessage="0" allowBlank="1" type="list">
      <formula1>"T1,T2,T3,T4,T5"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4" customWidth="1" min="4" max="4"/>
    <col width="14" customWidth="1" min="5" max="5"/>
    <col width="16" customWidth="1" min="6" max="6"/>
    <col width="13" customWidth="1" min="7" max="7"/>
    <col width="16" customWidth="1" min="8" max="8"/>
    <col width="14" customWidth="1" min="9" max="9"/>
    <col width="12" customWidth="1" min="10" max="10"/>
    <col width="11" customWidth="1" min="11" max="11"/>
    <col width="11" customWidth="1" min="12" max="12"/>
    <col width="10" customWidth="1" min="13" max="13"/>
    <col width="13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0" customWidth="1" min="20" max="20"/>
    <col width="14" customWidth="1" min="21" max="21"/>
    <col width="13" customWidth="1" min="22" max="22"/>
    <col width="15" customWidth="1" min="23" max="23"/>
    <col width="12" customWidth="1" min="24" max="24"/>
    <col width="12" customWidth="1" min="25" max="25"/>
    <col width="11" customWidth="1" min="26" max="26"/>
    <col width="13" customWidth="1" min="27" max="27"/>
    <col width="10" customWidth="1" min="28" max="28"/>
    <col width="13" customWidth="1" min="29" max="29"/>
    <col width="13" customWidth="1" min="30" max="30"/>
    <col width="13" customWidth="1" min="31" max="31"/>
    <col width="12" customWidth="1" min="32" max="32"/>
    <col width="13" customWidth="1" min="33" max="33"/>
    <col width="22" customWidth="1" min="34" max="34"/>
    <col width="18" customWidth="1" min="35" max="35"/>
  </cols>
  <sheetData>
    <row r="1" ht="30" customHeight="1">
      <c r="A1" s="1" t="inlineStr">
        <is>
          <t>EMPLOYEE ROSTER — Master List</t>
        </is>
      </c>
    </row>
    <row r="2" ht="40" customHeight="1">
      <c r="A2" s="2" t="inlineStr">
        <is>
          <t>Employee ID</t>
        </is>
      </c>
      <c r="B2" s="3" t="inlineStr">
        <is>
          <t>Last Name</t>
        </is>
      </c>
      <c r="C2" s="3" t="inlineStr">
        <is>
          <t>First Name</t>
        </is>
      </c>
      <c r="D2" s="3" t="inlineStr">
        <is>
          <t>Email</t>
        </is>
      </c>
      <c r="E2" s="3" t="inlineStr">
        <is>
          <t>Phone</t>
        </is>
      </c>
      <c r="F2" s="3" t="inlineStr">
        <is>
          <t>Position Title</t>
        </is>
      </c>
      <c r="G2" s="3" t="inlineStr">
        <is>
          <t>Labor Category</t>
        </is>
      </c>
      <c r="H2" s="3" t="inlineStr">
        <is>
          <t>Contract</t>
        </is>
      </c>
      <c r="I2" s="3" t="inlineStr">
        <is>
          <t>Supervisor</t>
        </is>
      </c>
      <c r="J2" s="3" t="inlineStr">
        <is>
          <t>Team</t>
        </is>
      </c>
      <c r="K2" s="3" t="inlineStr">
        <is>
          <t>Hire Date</t>
        </is>
      </c>
      <c r="L2" s="3" t="inlineStr">
        <is>
          <t>Start Date</t>
        </is>
      </c>
      <c r="M2" s="3" t="inlineStr">
        <is>
          <t>Status</t>
        </is>
      </c>
      <c r="N2" s="3" t="inlineStr">
        <is>
          <t>Clearance Level</t>
        </is>
      </c>
      <c r="O2" s="3" t="inlineStr">
        <is>
          <t>Clearance Status</t>
        </is>
      </c>
      <c r="P2" s="3" t="inlineStr">
        <is>
          <t>Equip Shipped</t>
        </is>
      </c>
      <c r="Q2" s="3" t="inlineStr">
        <is>
          <t>Equip Delivered</t>
        </is>
      </c>
      <c r="R2" s="3" t="inlineStr">
        <is>
          <t>Equip Verified</t>
        </is>
      </c>
      <c r="S2" s="3" t="inlineStr">
        <is>
          <t>Workspace Attest</t>
        </is>
      </c>
      <c r="T2" s="3" t="inlineStr">
        <is>
          <t>VPN Active</t>
        </is>
      </c>
      <c r="U2" s="3" t="inlineStr">
        <is>
          <t>Remote Readiness</t>
        </is>
      </c>
      <c r="V2" s="3" t="inlineStr">
        <is>
          <t>Training Status</t>
        </is>
      </c>
      <c r="W2" s="3" t="inlineStr">
        <is>
          <t>Training Complete Date</t>
        </is>
      </c>
      <c r="X2" s="3" t="inlineStr">
        <is>
          <t>Nesting Start</t>
        </is>
      </c>
      <c r="Y2" s="3" t="inlineStr">
        <is>
          <t>Nesting End</t>
        </is>
      </c>
      <c r="Z2" s="3" t="inlineStr">
        <is>
          <t>OJT Complete</t>
        </is>
      </c>
      <c r="AA2" s="3" t="inlineStr">
        <is>
          <t>Current QA Score</t>
        </is>
      </c>
      <c r="AB2" s="3" t="inlineStr">
        <is>
          <t>QA Trend</t>
        </is>
      </c>
      <c r="AC2" s="3" t="inlineStr">
        <is>
          <t>30-Day Check-in</t>
        </is>
      </c>
      <c r="AD2" s="3" t="inlineStr">
        <is>
          <t>60-Day Check-in</t>
        </is>
      </c>
      <c r="AE2" s="3" t="inlineStr">
        <is>
          <t>90-Day Check-in</t>
        </is>
      </c>
      <c r="AF2" s="3" t="inlineStr">
        <is>
          <t>Attrition Risk</t>
        </is>
      </c>
      <c r="AG2" s="3" t="inlineStr">
        <is>
          <t>Separation Date</t>
        </is>
      </c>
      <c r="AH2" s="3" t="inlineStr">
        <is>
          <t>Separation Reason</t>
        </is>
      </c>
      <c r="AI2" s="4" t="inlineStr">
        <is>
          <t>Notes</t>
        </is>
      </c>
    </row>
    <row r="3">
      <c r="A3" s="5" t="inlineStr">
        <is>
          <t>E-001</t>
        </is>
      </c>
      <c r="B3" s="6" t="inlineStr">
        <is>
          <t>Santos</t>
        </is>
      </c>
      <c r="C3" s="6" t="inlineStr">
        <is>
          <t>Maria</t>
        </is>
      </c>
      <c r="D3" s="6" t="inlineStr">
        <is>
          <t>m.santos@contractor.gov</t>
        </is>
      </c>
      <c r="E3" s="6" t="inlineStr">
        <is>
          <t>504-555-0101</t>
        </is>
      </c>
      <c r="F3" s="6" t="inlineStr">
        <is>
          <t>Case Analyst</t>
        </is>
      </c>
      <c r="G3" s="6" t="inlineStr">
        <is>
          <t>Analyst</t>
        </is>
      </c>
      <c r="H3" s="6" t="inlineStr">
        <is>
          <t>GS-SURGE-2026</t>
        </is>
      </c>
      <c r="I3" s="6" t="inlineStr">
        <is>
          <t>T. Washington</t>
        </is>
      </c>
      <c r="J3" s="6" t="inlineStr">
        <is>
          <t>Team Alpha</t>
        </is>
      </c>
      <c r="K3" s="27" t="n">
        <v>46115</v>
      </c>
      <c r="L3" s="27" t="n">
        <v>46121</v>
      </c>
      <c r="M3" s="6" t="inlineStr">
        <is>
          <t>Deployed</t>
        </is>
      </c>
      <c r="N3" s="6" t="inlineStr">
        <is>
          <t>Public Trust</t>
        </is>
      </c>
      <c r="O3" s="6" t="inlineStr">
        <is>
          <t>Active</t>
        </is>
      </c>
      <c r="P3" s="27" t="n">
        <v>46117</v>
      </c>
      <c r="Q3" s="27" t="n">
        <v>46119</v>
      </c>
      <c r="R3" s="6" t="inlineStr">
        <is>
          <t>Y</t>
        </is>
      </c>
      <c r="S3" s="6" t="inlineStr">
        <is>
          <t>Y</t>
        </is>
      </c>
      <c r="T3" s="6" t="inlineStr">
        <is>
          <t>Y</t>
        </is>
      </c>
      <c r="U3" s="6" t="inlineStr">
        <is>
          <t>Ready</t>
        </is>
      </c>
      <c r="V3" s="6" t="inlineStr">
        <is>
          <t>Complete</t>
        </is>
      </c>
      <c r="W3" s="27" t="n">
        <v>46124</v>
      </c>
      <c r="X3" s="27" t="n">
        <v>46125</v>
      </c>
      <c r="Y3" s="27" t="n">
        <v>46129</v>
      </c>
      <c r="Z3" s="6" t="inlineStr">
        <is>
          <t>Y</t>
        </is>
      </c>
      <c r="AA3" s="6" t="n">
        <v>88</v>
      </c>
      <c r="AB3" s="6" t="inlineStr">
        <is>
          <t>Improving</t>
        </is>
      </c>
      <c r="AC3" s="6" t="inlineStr">
        <is>
          <t>Complete</t>
        </is>
      </c>
      <c r="AD3" s="6" t="inlineStr">
        <is>
          <t>Pending</t>
        </is>
      </c>
      <c r="AE3" s="6" t="inlineStr"/>
      <c r="AF3" s="6" t="inlineStr">
        <is>
          <t>Low</t>
        </is>
      </c>
      <c r="AG3" s="27" t="inlineStr"/>
      <c r="AH3" s="6" t="inlineStr"/>
      <c r="AI3" s="9" t="inlineStr">
        <is>
          <t>Top performer</t>
        </is>
      </c>
    </row>
    <row r="4">
      <c r="A4" s="10" t="inlineStr">
        <is>
          <t>E-002</t>
        </is>
      </c>
      <c r="B4" s="11" t="inlineStr">
        <is>
          <t>Mitchell</t>
        </is>
      </c>
      <c r="C4" s="11" t="inlineStr">
        <is>
          <t>James</t>
        </is>
      </c>
      <c r="D4" s="11" t="inlineStr">
        <is>
          <t>j.mitchell@contractor.gov</t>
        </is>
      </c>
      <c r="E4" s="11" t="inlineStr">
        <is>
          <t>504-555-0102</t>
        </is>
      </c>
      <c r="F4" s="11" t="inlineStr">
        <is>
          <t>Program Support</t>
        </is>
      </c>
      <c r="G4" s="11" t="inlineStr">
        <is>
          <t>Admin</t>
        </is>
      </c>
      <c r="H4" s="11" t="inlineStr">
        <is>
          <t>GS-SURGE-2026</t>
        </is>
      </c>
      <c r="I4" s="11" t="inlineStr">
        <is>
          <t>L. Chen</t>
        </is>
      </c>
      <c r="J4" s="11" t="inlineStr">
        <is>
          <t>Team Beta</t>
        </is>
      </c>
      <c r="K4" s="28" t="n">
        <v>46116</v>
      </c>
      <c r="L4" s="28" t="n">
        <v>46122</v>
      </c>
      <c r="M4" s="11" t="inlineStr">
        <is>
          <t>Deployed</t>
        </is>
      </c>
      <c r="N4" s="11" t="inlineStr">
        <is>
          <t>Public Trust</t>
        </is>
      </c>
      <c r="O4" s="11" t="inlineStr">
        <is>
          <t>Active</t>
        </is>
      </c>
      <c r="P4" s="28" t="n">
        <v>46118</v>
      </c>
      <c r="Q4" s="28" t="n">
        <v>46120</v>
      </c>
      <c r="R4" s="11" t="inlineStr">
        <is>
          <t>Y</t>
        </is>
      </c>
      <c r="S4" s="11" t="inlineStr">
        <is>
          <t>Y</t>
        </is>
      </c>
      <c r="T4" s="11" t="inlineStr">
        <is>
          <t>Y</t>
        </is>
      </c>
      <c r="U4" s="11" t="inlineStr">
        <is>
          <t>Ready</t>
        </is>
      </c>
      <c r="V4" s="11" t="inlineStr">
        <is>
          <t>Complete</t>
        </is>
      </c>
      <c r="W4" s="28" t="n">
        <v>46125</v>
      </c>
      <c r="X4" s="28" t="n">
        <v>46126</v>
      </c>
      <c r="Y4" s="28" t="n">
        <v>46130</v>
      </c>
      <c r="Z4" s="11" t="inlineStr">
        <is>
          <t>Y</t>
        </is>
      </c>
      <c r="AA4" s="11" t="n">
        <v>82</v>
      </c>
      <c r="AB4" s="11" t="inlineStr">
        <is>
          <t>Stable</t>
        </is>
      </c>
      <c r="AC4" s="11" t="inlineStr">
        <is>
          <t>Complete</t>
        </is>
      </c>
      <c r="AD4" s="11" t="inlineStr">
        <is>
          <t>Pending</t>
        </is>
      </c>
      <c r="AE4" s="11" t="inlineStr"/>
      <c r="AF4" s="11" t="inlineStr">
        <is>
          <t>Low</t>
        </is>
      </c>
      <c r="AG4" s="28" t="inlineStr"/>
      <c r="AH4" s="11" t="inlineStr"/>
      <c r="AI4" s="14" t="inlineStr"/>
    </row>
    <row r="5">
      <c r="A5" s="5" t="inlineStr">
        <is>
          <t>E-003</t>
        </is>
      </c>
      <c r="B5" s="6" t="inlineStr">
        <is>
          <t>Johnson</t>
        </is>
      </c>
      <c r="C5" s="6" t="inlineStr">
        <is>
          <t>Aisha</t>
        </is>
      </c>
      <c r="D5" s="6" t="inlineStr">
        <is>
          <t>a.johnson@contractor.gov</t>
        </is>
      </c>
      <c r="E5" s="6" t="inlineStr">
        <is>
          <t>504-555-0103</t>
        </is>
      </c>
      <c r="F5" s="6" t="inlineStr">
        <is>
          <t>IT Support Spec</t>
        </is>
      </c>
      <c r="G5" s="6" t="inlineStr">
        <is>
          <t>IT</t>
        </is>
      </c>
      <c r="H5" s="6" t="inlineStr">
        <is>
          <t>GS-SURGE-2026</t>
        </is>
      </c>
      <c r="I5" s="6" t="inlineStr">
        <is>
          <t>M. Kim</t>
        </is>
      </c>
      <c r="J5" s="6" t="inlineStr">
        <is>
          <t>IT Support</t>
        </is>
      </c>
      <c r="K5" s="27" t="n">
        <v>46117</v>
      </c>
      <c r="L5" s="27" t="n">
        <v>46123</v>
      </c>
      <c r="M5" s="6" t="inlineStr">
        <is>
          <t>Deployed</t>
        </is>
      </c>
      <c r="N5" s="6" t="inlineStr">
        <is>
          <t>Secret</t>
        </is>
      </c>
      <c r="O5" s="6" t="inlineStr">
        <is>
          <t>Interim</t>
        </is>
      </c>
      <c r="P5" s="27" t="n">
        <v>46119</v>
      </c>
      <c r="Q5" s="27" t="n">
        <v>46121</v>
      </c>
      <c r="R5" s="6" t="inlineStr">
        <is>
          <t>Y</t>
        </is>
      </c>
      <c r="S5" s="6" t="inlineStr">
        <is>
          <t>Y</t>
        </is>
      </c>
      <c r="T5" s="6" t="inlineStr">
        <is>
          <t>Y</t>
        </is>
      </c>
      <c r="U5" s="6" t="inlineStr">
        <is>
          <t>Ready</t>
        </is>
      </c>
      <c r="V5" s="6" t="inlineStr">
        <is>
          <t>Complete</t>
        </is>
      </c>
      <c r="W5" s="27" t="n">
        <v>46126</v>
      </c>
      <c r="X5" s="27" t="n">
        <v>46127</v>
      </c>
      <c r="Y5" s="27" t="n">
        <v>46131</v>
      </c>
      <c r="Z5" s="6" t="inlineStr">
        <is>
          <t>Y</t>
        </is>
      </c>
      <c r="AA5" s="6" t="n">
        <v>91</v>
      </c>
      <c r="AB5" s="6" t="inlineStr">
        <is>
          <t>Improving</t>
        </is>
      </c>
      <c r="AC5" s="6" t="inlineStr">
        <is>
          <t>Complete</t>
        </is>
      </c>
      <c r="AD5" s="6" t="inlineStr">
        <is>
          <t>Pending</t>
        </is>
      </c>
      <c r="AE5" s="6" t="inlineStr"/>
      <c r="AF5" s="6" t="inlineStr">
        <is>
          <t>Low</t>
        </is>
      </c>
      <c r="AG5" s="27" t="inlineStr"/>
      <c r="AH5" s="6" t="inlineStr"/>
      <c r="AI5" s="9" t="inlineStr"/>
    </row>
    <row r="6">
      <c r="A6" s="10" t="inlineStr">
        <is>
          <t>E-004</t>
        </is>
      </c>
      <c r="B6" s="11" t="inlineStr">
        <is>
          <t>Williams</t>
        </is>
      </c>
      <c r="C6" s="11" t="inlineStr">
        <is>
          <t>Robert</t>
        </is>
      </c>
      <c r="D6" s="11" t="inlineStr">
        <is>
          <t>r.williams@contractor.gov</t>
        </is>
      </c>
      <c r="E6" s="11" t="inlineStr">
        <is>
          <t>504-555-0104</t>
        </is>
      </c>
      <c r="F6" s="11" t="inlineStr">
        <is>
          <t>Sr. Analyst</t>
        </is>
      </c>
      <c r="G6" s="11" t="inlineStr">
        <is>
          <t>Analyst</t>
        </is>
      </c>
      <c r="H6" s="11" t="inlineStr">
        <is>
          <t>GS-SURGE-2026</t>
        </is>
      </c>
      <c r="I6" s="11" t="inlineStr">
        <is>
          <t>T. Washington</t>
        </is>
      </c>
      <c r="J6" s="11" t="inlineStr">
        <is>
          <t>Team Alpha</t>
        </is>
      </c>
      <c r="K6" s="28" t="n">
        <v>46118</v>
      </c>
      <c r="L6" s="28" t="n">
        <v>46126</v>
      </c>
      <c r="M6" s="11" t="inlineStr">
        <is>
          <t>Training</t>
        </is>
      </c>
      <c r="N6" s="11" t="inlineStr">
        <is>
          <t>Secret</t>
        </is>
      </c>
      <c r="O6" s="11" t="inlineStr">
        <is>
          <t>Pending</t>
        </is>
      </c>
      <c r="P6" s="28" t="n">
        <v>46122</v>
      </c>
      <c r="Q6" s="28" t="n">
        <v>46124</v>
      </c>
      <c r="R6" s="11" t="inlineStr">
        <is>
          <t>Y</t>
        </is>
      </c>
      <c r="S6" s="11" t="inlineStr">
        <is>
          <t>Y</t>
        </is>
      </c>
      <c r="T6" s="11" t="inlineStr">
        <is>
          <t>Y</t>
        </is>
      </c>
      <c r="U6" s="11" t="inlineStr">
        <is>
          <t>Ready</t>
        </is>
      </c>
      <c r="V6" s="11" t="inlineStr">
        <is>
          <t>In Progress</t>
        </is>
      </c>
      <c r="W6" s="28" t="n"/>
      <c r="X6" s="28" t="n"/>
      <c r="Y6" s="28" t="n"/>
      <c r="Z6" s="11" t="inlineStr">
        <is>
          <t>N</t>
        </is>
      </c>
      <c r="AA6" s="11" t="inlineStr"/>
      <c r="AB6" s="11" t="inlineStr"/>
      <c r="AC6" s="11" t="inlineStr">
        <is>
          <t>Pending</t>
        </is>
      </c>
      <c r="AD6" s="11" t="inlineStr"/>
      <c r="AE6" s="11" t="inlineStr"/>
      <c r="AF6" s="11" t="inlineStr">
        <is>
          <t>Medium</t>
        </is>
      </c>
      <c r="AG6" s="28" t="inlineStr"/>
      <c r="AH6" s="11" t="inlineStr"/>
      <c r="AI6" s="14" t="inlineStr">
        <is>
          <t>Clearance delay</t>
        </is>
      </c>
    </row>
    <row r="7">
      <c r="A7" s="5" t="inlineStr">
        <is>
          <t>E-005</t>
        </is>
      </c>
      <c r="B7" s="6" t="inlineStr">
        <is>
          <t>Sharma</t>
        </is>
      </c>
      <c r="C7" s="6" t="inlineStr">
        <is>
          <t>Priya</t>
        </is>
      </c>
      <c r="D7" s="6" t="inlineStr">
        <is>
          <t>p.sharma@contractor.gov</t>
        </is>
      </c>
      <c r="E7" s="6" t="inlineStr">
        <is>
          <t>504-555-0105</t>
        </is>
      </c>
      <c r="F7" s="6" t="inlineStr">
        <is>
          <t>Data Entry Clerk</t>
        </is>
      </c>
      <c r="G7" s="6" t="inlineStr">
        <is>
          <t>Admin</t>
        </is>
      </c>
      <c r="H7" s="6" t="inlineStr">
        <is>
          <t>GS-SURGE-2026</t>
        </is>
      </c>
      <c r="I7" s="6" t="inlineStr">
        <is>
          <t>L. Chen</t>
        </is>
      </c>
      <c r="J7" s="6" t="inlineStr">
        <is>
          <t>Team Beta</t>
        </is>
      </c>
      <c r="K7" s="27" t="n">
        <v>46119</v>
      </c>
      <c r="L7" s="27" t="n">
        <v>46125</v>
      </c>
      <c r="M7" s="6" t="inlineStr">
        <is>
          <t>Deployed</t>
        </is>
      </c>
      <c r="N7" s="6" t="inlineStr">
        <is>
          <t>Public Trust</t>
        </is>
      </c>
      <c r="O7" s="6" t="inlineStr">
        <is>
          <t>Active</t>
        </is>
      </c>
      <c r="P7" s="27" t="n">
        <v>46121</v>
      </c>
      <c r="Q7" s="27" t="n">
        <v>46123</v>
      </c>
      <c r="R7" s="6" t="inlineStr">
        <is>
          <t>Y</t>
        </is>
      </c>
      <c r="S7" s="6" t="inlineStr">
        <is>
          <t>Y</t>
        </is>
      </c>
      <c r="T7" s="6" t="inlineStr">
        <is>
          <t>Y</t>
        </is>
      </c>
      <c r="U7" s="6" t="inlineStr">
        <is>
          <t>Ready</t>
        </is>
      </c>
      <c r="V7" s="6" t="inlineStr">
        <is>
          <t>Complete</t>
        </is>
      </c>
      <c r="W7" s="27" t="n">
        <v>46128</v>
      </c>
      <c r="X7" s="27" t="n">
        <v>46129</v>
      </c>
      <c r="Y7" s="27" t="n">
        <v>46132</v>
      </c>
      <c r="Z7" s="6" t="inlineStr">
        <is>
          <t>Y</t>
        </is>
      </c>
      <c r="AA7" s="6" t="n">
        <v>79</v>
      </c>
      <c r="AB7" s="6" t="inlineStr">
        <is>
          <t>Declining</t>
        </is>
      </c>
      <c r="AC7" s="6" t="inlineStr">
        <is>
          <t>Complete</t>
        </is>
      </c>
      <c r="AD7" s="6" t="inlineStr"/>
      <c r="AE7" s="6" t="inlineStr"/>
      <c r="AF7" s="6" t="inlineStr">
        <is>
          <t>Medium</t>
        </is>
      </c>
      <c r="AG7" s="27" t="inlineStr"/>
      <c r="AH7" s="6" t="inlineStr"/>
      <c r="AI7" s="9" t="inlineStr">
        <is>
          <t>QA trending down</t>
        </is>
      </c>
    </row>
    <row r="8">
      <c r="A8" s="10" t="inlineStr">
        <is>
          <t>E-006</t>
        </is>
      </c>
      <c r="B8" s="11" t="inlineStr">
        <is>
          <t>Thompson</t>
        </is>
      </c>
      <c r="C8" s="11" t="inlineStr">
        <is>
          <t>David</t>
        </is>
      </c>
      <c r="D8" s="11" t="inlineStr">
        <is>
          <t>d.thompson@contractor.gov</t>
        </is>
      </c>
      <c r="E8" s="11" t="inlineStr">
        <is>
          <t>504-555-0106</t>
        </is>
      </c>
      <c r="F8" s="11" t="inlineStr">
        <is>
          <t>QA Specialist</t>
        </is>
      </c>
      <c r="G8" s="11" t="inlineStr">
        <is>
          <t>Quality</t>
        </is>
      </c>
      <c r="H8" s="11" t="inlineStr">
        <is>
          <t>GS-SURGE-2026</t>
        </is>
      </c>
      <c r="I8" s="11" t="inlineStr">
        <is>
          <t>M. Kim</t>
        </is>
      </c>
      <c r="J8" s="11" t="inlineStr">
        <is>
          <t>Quality</t>
        </is>
      </c>
      <c r="K8" s="28" t="n">
        <v>46120</v>
      </c>
      <c r="L8" s="28" t="n">
        <v>46126</v>
      </c>
      <c r="M8" s="11" t="inlineStr">
        <is>
          <t>Deployed</t>
        </is>
      </c>
      <c r="N8" s="11" t="inlineStr">
        <is>
          <t>Public Trust</t>
        </is>
      </c>
      <c r="O8" s="11" t="inlineStr">
        <is>
          <t>Active</t>
        </is>
      </c>
      <c r="P8" s="28" t="n">
        <v>46122</v>
      </c>
      <c r="Q8" s="28" t="n">
        <v>46124</v>
      </c>
      <c r="R8" s="11" t="inlineStr">
        <is>
          <t>Y</t>
        </is>
      </c>
      <c r="S8" s="11" t="inlineStr">
        <is>
          <t>Y</t>
        </is>
      </c>
      <c r="T8" s="11" t="inlineStr">
        <is>
          <t>Y</t>
        </is>
      </c>
      <c r="U8" s="11" t="inlineStr">
        <is>
          <t>Ready</t>
        </is>
      </c>
      <c r="V8" s="11" t="inlineStr">
        <is>
          <t>Complete</t>
        </is>
      </c>
      <c r="W8" s="28" t="n">
        <v>46129</v>
      </c>
      <c r="X8" s="28" t="n">
        <v>46130</v>
      </c>
      <c r="Y8" s="28" t="n">
        <v>46132</v>
      </c>
      <c r="Z8" s="11" t="inlineStr">
        <is>
          <t>Y</t>
        </is>
      </c>
      <c r="AA8" s="11" t="n">
        <v>94</v>
      </c>
      <c r="AB8" s="11" t="inlineStr">
        <is>
          <t>Stable</t>
        </is>
      </c>
      <c r="AC8" s="11" t="inlineStr">
        <is>
          <t>Complete</t>
        </is>
      </c>
      <c r="AD8" s="11" t="inlineStr"/>
      <c r="AE8" s="11" t="inlineStr"/>
      <c r="AF8" s="11" t="inlineStr">
        <is>
          <t>Low</t>
        </is>
      </c>
      <c r="AG8" s="28" t="inlineStr"/>
      <c r="AH8" s="11" t="inlineStr"/>
      <c r="AI8" s="14" t="inlineStr"/>
    </row>
    <row r="9">
      <c r="A9" s="5" t="inlineStr">
        <is>
          <t>E-007</t>
        </is>
      </c>
      <c r="B9" s="6" t="inlineStr">
        <is>
          <t>Brown</t>
        </is>
      </c>
      <c r="C9" s="6" t="inlineStr">
        <is>
          <t>Sarah</t>
        </is>
      </c>
      <c r="D9" s="6" t="inlineStr">
        <is>
          <t>s.brown@contractor.gov</t>
        </is>
      </c>
      <c r="E9" s="6" t="inlineStr">
        <is>
          <t>504-555-0107</t>
        </is>
      </c>
      <c r="F9" s="6" t="inlineStr">
        <is>
          <t>Case Analyst</t>
        </is>
      </c>
      <c r="G9" s="6" t="inlineStr">
        <is>
          <t>Analyst</t>
        </is>
      </c>
      <c r="H9" s="6" t="inlineStr">
        <is>
          <t>GS-SURGE-2026</t>
        </is>
      </c>
      <c r="I9" s="6" t="inlineStr">
        <is>
          <t>T. Washington</t>
        </is>
      </c>
      <c r="J9" s="6" t="inlineStr">
        <is>
          <t>Team Alpha</t>
        </is>
      </c>
      <c r="K9" s="27" t="n">
        <v>46123</v>
      </c>
      <c r="L9" s="27" t="n">
        <v>46132</v>
      </c>
      <c r="M9" s="6" t="inlineStr">
        <is>
          <t>Training</t>
        </is>
      </c>
      <c r="N9" s="6" t="inlineStr">
        <is>
          <t>Public Trust</t>
        </is>
      </c>
      <c r="O9" s="6" t="inlineStr">
        <is>
          <t>Pending</t>
        </is>
      </c>
      <c r="P9" s="27" t="n">
        <v>46127</v>
      </c>
      <c r="Q9" s="27" t="n">
        <v>46129</v>
      </c>
      <c r="R9" s="6" t="inlineStr">
        <is>
          <t>Y</t>
        </is>
      </c>
      <c r="S9" s="6" t="inlineStr">
        <is>
          <t>Y</t>
        </is>
      </c>
      <c r="T9" s="6" t="inlineStr">
        <is>
          <t>Y</t>
        </is>
      </c>
      <c r="U9" s="6" t="inlineStr">
        <is>
          <t>Ready</t>
        </is>
      </c>
      <c r="V9" s="6" t="inlineStr">
        <is>
          <t>In Progress</t>
        </is>
      </c>
      <c r="W9" s="27" t="n"/>
      <c r="X9" s="27" t="n"/>
      <c r="Y9" s="27" t="n"/>
      <c r="Z9" s="6" t="inlineStr">
        <is>
          <t>N</t>
        </is>
      </c>
      <c r="AA9" s="6" t="inlineStr"/>
      <c r="AB9" s="6" t="inlineStr"/>
      <c r="AC9" s="6" t="inlineStr">
        <is>
          <t>Pending</t>
        </is>
      </c>
      <c r="AD9" s="6" t="inlineStr"/>
      <c r="AE9" s="6" t="inlineStr"/>
      <c r="AF9" s="6" t="inlineStr">
        <is>
          <t>Low</t>
        </is>
      </c>
      <c r="AG9" s="27" t="inlineStr"/>
      <c r="AH9" s="6" t="inlineStr"/>
      <c r="AI9" s="9" t="inlineStr"/>
    </row>
    <row r="10">
      <c r="A10" s="10" t="inlineStr">
        <is>
          <t>E-008</t>
        </is>
      </c>
      <c r="B10" s="11" t="inlineStr">
        <is>
          <t>Davis</t>
        </is>
      </c>
      <c r="C10" s="11" t="inlineStr">
        <is>
          <t>Michael</t>
        </is>
      </c>
      <c r="D10" s="11" t="inlineStr">
        <is>
          <t>m.davis@contractor.gov</t>
        </is>
      </c>
      <c r="E10" s="11" t="inlineStr">
        <is>
          <t>504-555-0108</t>
        </is>
      </c>
      <c r="F10" s="11" t="inlineStr">
        <is>
          <t>Security Analyst</t>
        </is>
      </c>
      <c r="G10" s="11" t="inlineStr">
        <is>
          <t>Security</t>
        </is>
      </c>
      <c r="H10" s="11" t="inlineStr">
        <is>
          <t>GS-SURGE-2026</t>
        </is>
      </c>
      <c r="I10" s="11" t="inlineStr">
        <is>
          <t>M. Kim</t>
        </is>
      </c>
      <c r="J10" s="11" t="inlineStr">
        <is>
          <t>Security</t>
        </is>
      </c>
      <c r="K10" s="28" t="n">
        <v>46124</v>
      </c>
      <c r="L10" s="28" t="n"/>
      <c r="M10" s="11" t="inlineStr">
        <is>
          <t>Onboarding</t>
        </is>
      </c>
      <c r="N10" s="11" t="inlineStr">
        <is>
          <t>TS</t>
        </is>
      </c>
      <c r="O10" s="11" t="inlineStr">
        <is>
          <t>Pending</t>
        </is>
      </c>
      <c r="P10" s="28" t="n">
        <v>46128</v>
      </c>
      <c r="Q10" s="28" t="n">
        <v>46130</v>
      </c>
      <c r="R10" s="11" t="inlineStr">
        <is>
          <t>Y</t>
        </is>
      </c>
      <c r="S10" s="11" t="inlineStr">
        <is>
          <t>Y</t>
        </is>
      </c>
      <c r="T10" s="11" t="inlineStr">
        <is>
          <t>N</t>
        </is>
      </c>
      <c r="U10" s="11" t="inlineStr">
        <is>
          <t>Pending</t>
        </is>
      </c>
      <c r="V10" s="11" t="inlineStr">
        <is>
          <t>Not Started</t>
        </is>
      </c>
      <c r="W10" s="28" t="n"/>
      <c r="X10" s="28" t="n"/>
      <c r="Y10" s="28" t="n"/>
      <c r="Z10" s="11" t="inlineStr">
        <is>
          <t>N</t>
        </is>
      </c>
      <c r="AA10" s="11" t="inlineStr"/>
      <c r="AB10" s="11" t="inlineStr"/>
      <c r="AC10" s="11" t="inlineStr"/>
      <c r="AD10" s="11" t="inlineStr"/>
      <c r="AE10" s="11" t="inlineStr"/>
      <c r="AF10" s="11" t="inlineStr">
        <is>
          <t>Medium</t>
        </is>
      </c>
      <c r="AG10" s="28" t="inlineStr"/>
      <c r="AH10" s="11" t="inlineStr"/>
      <c r="AI10" s="14" t="inlineStr">
        <is>
          <t>Awaiting TS clearance</t>
        </is>
      </c>
    </row>
    <row r="11">
      <c r="A11" s="5" t="inlineStr">
        <is>
          <t>E-009</t>
        </is>
      </c>
      <c r="B11" s="6" t="inlineStr">
        <is>
          <t>Lee</t>
        </is>
      </c>
      <c r="C11" s="6" t="inlineStr">
        <is>
          <t>Kevin</t>
        </is>
      </c>
      <c r="D11" s="6" t="inlineStr">
        <is>
          <t>k.lee@contractor.gov</t>
        </is>
      </c>
      <c r="E11" s="6" t="inlineStr">
        <is>
          <t>504-555-0109</t>
        </is>
      </c>
      <c r="F11" s="6" t="inlineStr">
        <is>
          <t>Network Engineer</t>
        </is>
      </c>
      <c r="G11" s="6" t="inlineStr">
        <is>
          <t>IT</t>
        </is>
      </c>
      <c r="H11" s="6" t="inlineStr">
        <is>
          <t>GS-SURGE-2026</t>
        </is>
      </c>
      <c r="I11" s="6" t="inlineStr">
        <is>
          <t>M. Kim</t>
        </is>
      </c>
      <c r="J11" s="6" t="inlineStr">
        <is>
          <t>IT Support</t>
        </is>
      </c>
      <c r="K11" s="27" t="n">
        <v>46127</v>
      </c>
      <c r="L11" s="27" t="n"/>
      <c r="M11" s="6" t="inlineStr">
        <is>
          <t>Onboarding</t>
        </is>
      </c>
      <c r="N11" s="6" t="inlineStr">
        <is>
          <t>Secret</t>
        </is>
      </c>
      <c r="O11" s="6" t="inlineStr">
        <is>
          <t>Pending</t>
        </is>
      </c>
      <c r="P11" s="27" t="n">
        <v>46129</v>
      </c>
      <c r="Q11" s="27" t="n"/>
      <c r="R11" s="6" t="inlineStr">
        <is>
          <t>N</t>
        </is>
      </c>
      <c r="S11" s="6" t="inlineStr">
        <is>
          <t>N</t>
        </is>
      </c>
      <c r="T11" s="6" t="inlineStr">
        <is>
          <t>N</t>
        </is>
      </c>
      <c r="U11" s="6" t="inlineStr">
        <is>
          <t>Blocked</t>
        </is>
      </c>
      <c r="V11" s="6" t="inlineStr">
        <is>
          <t>Not Started</t>
        </is>
      </c>
      <c r="W11" s="27" t="n"/>
      <c r="X11" s="27" t="n"/>
      <c r="Y11" s="27" t="n"/>
      <c r="Z11" s="6" t="inlineStr">
        <is>
          <t>N</t>
        </is>
      </c>
      <c r="AA11" s="6" t="inlineStr"/>
      <c r="AB11" s="6" t="inlineStr"/>
      <c r="AC11" s="6" t="inlineStr"/>
      <c r="AD11" s="6" t="inlineStr"/>
      <c r="AE11" s="6" t="inlineStr"/>
      <c r="AF11" s="6" t="inlineStr">
        <is>
          <t>Medium</t>
        </is>
      </c>
      <c r="AG11" s="27" t="inlineStr"/>
      <c r="AH11" s="6" t="inlineStr"/>
      <c r="AI11" s="9" t="inlineStr">
        <is>
          <t>Equipment in transit</t>
        </is>
      </c>
    </row>
    <row r="12">
      <c r="A12" s="10" t="inlineStr">
        <is>
          <t>E-010</t>
        </is>
      </c>
      <c r="B12" s="11" t="inlineStr">
        <is>
          <t>Taylor</t>
        </is>
      </c>
      <c r="C12" s="11" t="inlineStr">
        <is>
          <t>Amanda</t>
        </is>
      </c>
      <c r="D12" s="11" t="inlineStr">
        <is>
          <t>a.taylor@contractor.gov</t>
        </is>
      </c>
      <c r="E12" s="11" t="inlineStr">
        <is>
          <t>504-555-0110</t>
        </is>
      </c>
      <c r="F12" s="11" t="inlineStr">
        <is>
          <t>Case Analyst</t>
        </is>
      </c>
      <c r="G12" s="11" t="inlineStr">
        <is>
          <t>Analyst</t>
        </is>
      </c>
      <c r="H12" s="11" t="inlineStr">
        <is>
          <t>GS-SURGE-2026</t>
        </is>
      </c>
      <c r="I12" s="11" t="inlineStr">
        <is>
          <t>T. Washington</t>
        </is>
      </c>
      <c r="J12" s="11" t="inlineStr">
        <is>
          <t>Team Alpha</t>
        </is>
      </c>
      <c r="K12" s="28" t="n">
        <v>46130</v>
      </c>
      <c r="L12" s="28" t="n"/>
      <c r="M12" s="11" t="inlineStr">
        <is>
          <t>Onboarding</t>
        </is>
      </c>
      <c r="N12" s="11" t="inlineStr">
        <is>
          <t>Public Trust</t>
        </is>
      </c>
      <c r="O12" s="11" t="inlineStr">
        <is>
          <t>Pending</t>
        </is>
      </c>
      <c r="P12" s="28" t="n"/>
      <c r="Q12" s="28" t="n"/>
      <c r="R12" s="11" t="inlineStr">
        <is>
          <t>N</t>
        </is>
      </c>
      <c r="S12" s="11" t="inlineStr">
        <is>
          <t>N</t>
        </is>
      </c>
      <c r="T12" s="11" t="inlineStr">
        <is>
          <t>N</t>
        </is>
      </c>
      <c r="U12" s="11" t="inlineStr">
        <is>
          <t>Blocked</t>
        </is>
      </c>
      <c r="V12" s="11" t="inlineStr">
        <is>
          <t>Not Started</t>
        </is>
      </c>
      <c r="W12" s="28" t="n"/>
      <c r="X12" s="28" t="n"/>
      <c r="Y12" s="28" t="n"/>
      <c r="Z12" s="11" t="inlineStr">
        <is>
          <t>N</t>
        </is>
      </c>
      <c r="AA12" s="11" t="inlineStr"/>
      <c r="AB12" s="11" t="inlineStr"/>
      <c r="AC12" s="11" t="inlineStr"/>
      <c r="AD12" s="11" t="inlineStr"/>
      <c r="AE12" s="11" t="inlineStr"/>
      <c r="AF12" s="11" t="inlineStr">
        <is>
          <t>Low</t>
        </is>
      </c>
      <c r="AG12" s="28" t="inlineStr"/>
      <c r="AH12" s="11" t="inlineStr"/>
      <c r="AI12" s="14" t="inlineStr">
        <is>
          <t>Pending offer accept</t>
        </is>
      </c>
    </row>
    <row r="13">
      <c r="A13" s="5" t="inlineStr">
        <is>
          <t>E-011</t>
        </is>
      </c>
      <c r="B13" s="6" t="inlineStr">
        <is>
          <t>Parker</t>
        </is>
      </c>
      <c r="C13" s="6" t="inlineStr">
        <is>
          <t>Jason</t>
        </is>
      </c>
      <c r="D13" s="6" t="inlineStr">
        <is>
          <t>j.parker@contractor.gov</t>
        </is>
      </c>
      <c r="E13" s="6" t="inlineStr">
        <is>
          <t>504-555-0111</t>
        </is>
      </c>
      <c r="F13" s="6" t="inlineStr">
        <is>
          <t>Case Analyst</t>
        </is>
      </c>
      <c r="G13" s="6" t="inlineStr">
        <is>
          <t>Analyst</t>
        </is>
      </c>
      <c r="H13" s="6" t="inlineStr">
        <is>
          <t>GS-SURGE-2026</t>
        </is>
      </c>
      <c r="I13" s="6" t="inlineStr">
        <is>
          <t>L. Chen</t>
        </is>
      </c>
      <c r="J13" s="6" t="inlineStr">
        <is>
          <t>Team Beta</t>
        </is>
      </c>
      <c r="K13" s="27" t="n">
        <v>46115</v>
      </c>
      <c r="L13" s="27" t="n">
        <v>46121</v>
      </c>
      <c r="M13" s="6" t="inlineStr">
        <is>
          <t>Deployed</t>
        </is>
      </c>
      <c r="N13" s="6" t="inlineStr">
        <is>
          <t>Public Trust</t>
        </is>
      </c>
      <c r="O13" s="6" t="inlineStr">
        <is>
          <t>Active</t>
        </is>
      </c>
      <c r="P13" s="27" t="n">
        <v>46117</v>
      </c>
      <c r="Q13" s="27" t="n">
        <v>46119</v>
      </c>
      <c r="R13" s="6" t="inlineStr">
        <is>
          <t>Y</t>
        </is>
      </c>
      <c r="S13" s="6" t="inlineStr">
        <is>
          <t>Y</t>
        </is>
      </c>
      <c r="T13" s="6" t="inlineStr">
        <is>
          <t>Y</t>
        </is>
      </c>
      <c r="U13" s="6" t="inlineStr">
        <is>
          <t>Ready</t>
        </is>
      </c>
      <c r="V13" s="6" t="inlineStr">
        <is>
          <t>Complete</t>
        </is>
      </c>
      <c r="W13" s="27" t="n">
        <v>46124</v>
      </c>
      <c r="X13" s="27" t="n">
        <v>46125</v>
      </c>
      <c r="Y13" s="27" t="n">
        <v>46129</v>
      </c>
      <c r="Z13" s="6" t="inlineStr">
        <is>
          <t>Y</t>
        </is>
      </c>
      <c r="AA13" s="6" t="n">
        <v>85</v>
      </c>
      <c r="AB13" s="6" t="inlineStr">
        <is>
          <t>Stable</t>
        </is>
      </c>
      <c r="AC13" s="6" t="inlineStr">
        <is>
          <t>Complete</t>
        </is>
      </c>
      <c r="AD13" s="6" t="inlineStr">
        <is>
          <t>Pending</t>
        </is>
      </c>
      <c r="AE13" s="6" t="inlineStr"/>
      <c r="AF13" s="6" t="inlineStr">
        <is>
          <t>Low</t>
        </is>
      </c>
      <c r="AG13" s="27" t="inlineStr"/>
      <c r="AH13" s="6" t="inlineStr"/>
      <c r="AI13" s="9" t="inlineStr"/>
    </row>
    <row r="14">
      <c r="A14" s="10" t="inlineStr">
        <is>
          <t>E-012</t>
        </is>
      </c>
      <c r="B14" s="11" t="inlineStr">
        <is>
          <t>Rivera</t>
        </is>
      </c>
      <c r="C14" s="11" t="inlineStr">
        <is>
          <t>Carmen</t>
        </is>
      </c>
      <c r="D14" s="11" t="inlineStr">
        <is>
          <t>c.rivera@contractor.gov</t>
        </is>
      </c>
      <c r="E14" s="11" t="inlineStr">
        <is>
          <t>504-555-0112</t>
        </is>
      </c>
      <c r="F14" s="11" t="inlineStr">
        <is>
          <t>Case Analyst</t>
        </is>
      </c>
      <c r="G14" s="11" t="inlineStr">
        <is>
          <t>Analyst</t>
        </is>
      </c>
      <c r="H14" s="11" t="inlineStr">
        <is>
          <t>GS-SURGE-2026</t>
        </is>
      </c>
      <c r="I14" s="11" t="inlineStr">
        <is>
          <t>L. Chen</t>
        </is>
      </c>
      <c r="J14" s="11" t="inlineStr">
        <is>
          <t>Team Beta</t>
        </is>
      </c>
      <c r="K14" s="28" t="n">
        <v>46116</v>
      </c>
      <c r="L14" s="28" t="n">
        <v>46122</v>
      </c>
      <c r="M14" s="11" t="inlineStr">
        <is>
          <t>Deployed</t>
        </is>
      </c>
      <c r="N14" s="11" t="inlineStr">
        <is>
          <t>Public Trust</t>
        </is>
      </c>
      <c r="O14" s="11" t="inlineStr">
        <is>
          <t>Active</t>
        </is>
      </c>
      <c r="P14" s="28" t="n">
        <v>46118</v>
      </c>
      <c r="Q14" s="28" t="n">
        <v>46120</v>
      </c>
      <c r="R14" s="11" t="inlineStr">
        <is>
          <t>Y</t>
        </is>
      </c>
      <c r="S14" s="11" t="inlineStr">
        <is>
          <t>Y</t>
        </is>
      </c>
      <c r="T14" s="11" t="inlineStr">
        <is>
          <t>Y</t>
        </is>
      </c>
      <c r="U14" s="11" t="inlineStr">
        <is>
          <t>Ready</t>
        </is>
      </c>
      <c r="V14" s="11" t="inlineStr">
        <is>
          <t>Complete</t>
        </is>
      </c>
      <c r="W14" s="28" t="n">
        <v>46125</v>
      </c>
      <c r="X14" s="28" t="n">
        <v>46126</v>
      </c>
      <c r="Y14" s="28" t="n">
        <v>46130</v>
      </c>
      <c r="Z14" s="11" t="inlineStr">
        <is>
          <t>Y</t>
        </is>
      </c>
      <c r="AA14" s="11" t="n">
        <v>76</v>
      </c>
      <c r="AB14" s="11" t="inlineStr">
        <is>
          <t>Declining</t>
        </is>
      </c>
      <c r="AC14" s="11" t="inlineStr">
        <is>
          <t>Complete</t>
        </is>
      </c>
      <c r="AD14" s="11" t="inlineStr">
        <is>
          <t>Pending</t>
        </is>
      </c>
      <c r="AE14" s="11" t="inlineStr"/>
      <c r="AF14" s="11" t="inlineStr">
        <is>
          <t>High</t>
        </is>
      </c>
      <c r="AG14" s="28" t="inlineStr"/>
      <c r="AH14" s="11" t="inlineStr"/>
      <c r="AI14" s="14" t="inlineStr">
        <is>
          <t>Performance concerns</t>
        </is>
      </c>
    </row>
    <row r="15">
      <c r="A15" s="5" t="inlineStr">
        <is>
          <t>E-013</t>
        </is>
      </c>
      <c r="B15" s="6" t="inlineStr">
        <is>
          <t>Nguyen</t>
        </is>
      </c>
      <c r="C15" s="6" t="inlineStr">
        <is>
          <t>Tran</t>
        </is>
      </c>
      <c r="D15" s="6" t="inlineStr">
        <is>
          <t>t.nguyen@contractor.gov</t>
        </is>
      </c>
      <c r="E15" s="6" t="inlineStr">
        <is>
          <t>504-555-0113</t>
        </is>
      </c>
      <c r="F15" s="6" t="inlineStr">
        <is>
          <t>Program Support</t>
        </is>
      </c>
      <c r="G15" s="6" t="inlineStr">
        <is>
          <t>Admin</t>
        </is>
      </c>
      <c r="H15" s="6" t="inlineStr">
        <is>
          <t>GS-SURGE-2026</t>
        </is>
      </c>
      <c r="I15" s="6" t="inlineStr">
        <is>
          <t>T. Washington</t>
        </is>
      </c>
      <c r="J15" s="6" t="inlineStr">
        <is>
          <t>Team Alpha</t>
        </is>
      </c>
      <c r="K15" s="27" t="n">
        <v>46117</v>
      </c>
      <c r="L15" s="27" t="n">
        <v>46123</v>
      </c>
      <c r="M15" s="6" t="inlineStr">
        <is>
          <t>Deployed</t>
        </is>
      </c>
      <c r="N15" s="6" t="inlineStr">
        <is>
          <t>Public Trust</t>
        </is>
      </c>
      <c r="O15" s="6" t="inlineStr">
        <is>
          <t>Active</t>
        </is>
      </c>
      <c r="P15" s="27" t="n">
        <v>46119</v>
      </c>
      <c r="Q15" s="27" t="n">
        <v>46121</v>
      </c>
      <c r="R15" s="6" t="inlineStr">
        <is>
          <t>Y</t>
        </is>
      </c>
      <c r="S15" s="6" t="inlineStr">
        <is>
          <t>Y</t>
        </is>
      </c>
      <c r="T15" s="6" t="inlineStr">
        <is>
          <t>Y</t>
        </is>
      </c>
      <c r="U15" s="6" t="inlineStr">
        <is>
          <t>Ready</t>
        </is>
      </c>
      <c r="V15" s="6" t="inlineStr">
        <is>
          <t>Complete</t>
        </is>
      </c>
      <c r="W15" s="27" t="n">
        <v>46126</v>
      </c>
      <c r="X15" s="27" t="n">
        <v>46127</v>
      </c>
      <c r="Y15" s="27" t="n">
        <v>46131</v>
      </c>
      <c r="Z15" s="6" t="inlineStr">
        <is>
          <t>Y</t>
        </is>
      </c>
      <c r="AA15" s="6" t="n">
        <v>87</v>
      </c>
      <c r="AB15" s="6" t="inlineStr">
        <is>
          <t>Improving</t>
        </is>
      </c>
      <c r="AC15" s="6" t="inlineStr">
        <is>
          <t>Complete</t>
        </is>
      </c>
      <c r="AD15" s="6" t="inlineStr">
        <is>
          <t>Pending</t>
        </is>
      </c>
      <c r="AE15" s="6" t="inlineStr"/>
      <c r="AF15" s="6" t="inlineStr">
        <is>
          <t>Low</t>
        </is>
      </c>
      <c r="AG15" s="27" t="inlineStr"/>
      <c r="AH15" s="6" t="inlineStr"/>
      <c r="AI15" s="9" t="inlineStr"/>
    </row>
    <row r="16">
      <c r="A16" s="10" t="inlineStr">
        <is>
          <t>E-014</t>
        </is>
      </c>
      <c r="B16" s="11" t="inlineStr">
        <is>
          <t>Foster</t>
        </is>
      </c>
      <c r="C16" s="11" t="inlineStr">
        <is>
          <t>Derek</t>
        </is>
      </c>
      <c r="D16" s="11" t="inlineStr">
        <is>
          <t>d.foster@contractor.gov</t>
        </is>
      </c>
      <c r="E16" s="11" t="inlineStr">
        <is>
          <t>504-555-0114</t>
        </is>
      </c>
      <c r="F16" s="11" t="inlineStr">
        <is>
          <t>Case Analyst</t>
        </is>
      </c>
      <c r="G16" s="11" t="inlineStr">
        <is>
          <t>Analyst</t>
        </is>
      </c>
      <c r="H16" s="11" t="inlineStr">
        <is>
          <t>GS-SURGE-2026</t>
        </is>
      </c>
      <c r="I16" s="11" t="inlineStr">
        <is>
          <t>L. Chen</t>
        </is>
      </c>
      <c r="J16" s="11" t="inlineStr">
        <is>
          <t>Team Beta</t>
        </is>
      </c>
      <c r="K16" s="28" t="n">
        <v>46118</v>
      </c>
      <c r="L16" s="28" t="n">
        <v>46125</v>
      </c>
      <c r="M16" s="11" t="inlineStr">
        <is>
          <t>Nesting</t>
        </is>
      </c>
      <c r="N16" s="11" t="inlineStr">
        <is>
          <t>Public Trust</t>
        </is>
      </c>
      <c r="O16" s="11" t="inlineStr">
        <is>
          <t>Active</t>
        </is>
      </c>
      <c r="P16" s="28" t="n">
        <v>46121</v>
      </c>
      <c r="Q16" s="28" t="n">
        <v>46123</v>
      </c>
      <c r="R16" s="11" t="inlineStr">
        <is>
          <t>Y</t>
        </is>
      </c>
      <c r="S16" s="11" t="inlineStr">
        <is>
          <t>Y</t>
        </is>
      </c>
      <c r="T16" s="11" t="inlineStr">
        <is>
          <t>Y</t>
        </is>
      </c>
      <c r="U16" s="11" t="inlineStr">
        <is>
          <t>Ready</t>
        </is>
      </c>
      <c r="V16" s="11" t="inlineStr">
        <is>
          <t>Complete</t>
        </is>
      </c>
      <c r="W16" s="28" t="n">
        <v>46128</v>
      </c>
      <c r="X16" s="28" t="n">
        <v>46129</v>
      </c>
      <c r="Y16" s="28" t="n"/>
      <c r="Z16" s="11" t="inlineStr">
        <is>
          <t>N</t>
        </is>
      </c>
      <c r="AA16" s="11" t="n">
        <v>81</v>
      </c>
      <c r="AB16" s="11" t="inlineStr">
        <is>
          <t>Stable</t>
        </is>
      </c>
      <c r="AC16" s="11" t="inlineStr">
        <is>
          <t>Pending</t>
        </is>
      </c>
      <c r="AD16" s="11" t="inlineStr"/>
      <c r="AE16" s="11" t="inlineStr"/>
      <c r="AF16" s="11" t="inlineStr">
        <is>
          <t>Low</t>
        </is>
      </c>
      <c r="AG16" s="28" t="inlineStr"/>
      <c r="AH16" s="11" t="inlineStr"/>
      <c r="AI16" s="14" t="inlineStr"/>
    </row>
    <row r="17">
      <c r="A17" s="5" t="inlineStr">
        <is>
          <t>E-015</t>
        </is>
      </c>
      <c r="B17" s="6" t="inlineStr">
        <is>
          <t>Kim</t>
        </is>
      </c>
      <c r="C17" s="6" t="inlineStr">
        <is>
          <t>Susan</t>
        </is>
      </c>
      <c r="D17" s="6" t="inlineStr">
        <is>
          <t>s.kim@contractor.gov</t>
        </is>
      </c>
      <c r="E17" s="6" t="inlineStr">
        <is>
          <t>504-555-0115</t>
        </is>
      </c>
      <c r="F17" s="6" t="inlineStr">
        <is>
          <t>Training Specialist</t>
        </is>
      </c>
      <c r="G17" s="6" t="inlineStr">
        <is>
          <t>Training</t>
        </is>
      </c>
      <c r="H17" s="6" t="inlineStr">
        <is>
          <t>GS-SURGE-2026</t>
        </is>
      </c>
      <c r="I17" s="6" t="inlineStr">
        <is>
          <t>M. Kim</t>
        </is>
      </c>
      <c r="J17" s="6" t="inlineStr">
        <is>
          <t>Training</t>
        </is>
      </c>
      <c r="K17" s="27" t="n">
        <v>46119</v>
      </c>
      <c r="L17" s="27" t="n">
        <v>46125</v>
      </c>
      <c r="M17" s="6" t="inlineStr">
        <is>
          <t>Deployed</t>
        </is>
      </c>
      <c r="N17" s="6" t="inlineStr">
        <is>
          <t>Public Trust</t>
        </is>
      </c>
      <c r="O17" s="6" t="inlineStr">
        <is>
          <t>Active</t>
        </is>
      </c>
      <c r="P17" s="27" t="n">
        <v>46121</v>
      </c>
      <c r="Q17" s="27" t="n">
        <v>46123</v>
      </c>
      <c r="R17" s="6" t="inlineStr">
        <is>
          <t>Y</t>
        </is>
      </c>
      <c r="S17" s="6" t="inlineStr">
        <is>
          <t>Y</t>
        </is>
      </c>
      <c r="T17" s="6" t="inlineStr">
        <is>
          <t>Y</t>
        </is>
      </c>
      <c r="U17" s="6" t="inlineStr">
        <is>
          <t>Ready</t>
        </is>
      </c>
      <c r="V17" s="6" t="inlineStr">
        <is>
          <t>Complete</t>
        </is>
      </c>
      <c r="W17" s="27" t="n">
        <v>46126</v>
      </c>
      <c r="X17" s="27" t="n"/>
      <c r="Y17" s="27" t="n"/>
      <c r="Z17" s="6" t="inlineStr">
        <is>
          <t>Y</t>
        </is>
      </c>
      <c r="AA17" s="6" t="n">
        <v>90</v>
      </c>
      <c r="AB17" s="6" t="inlineStr">
        <is>
          <t>Stable</t>
        </is>
      </c>
      <c r="AC17" s="6" t="inlineStr">
        <is>
          <t>Complete</t>
        </is>
      </c>
      <c r="AD17" s="6" t="inlineStr"/>
      <c r="AE17" s="6" t="inlineStr"/>
      <c r="AF17" s="6" t="inlineStr">
        <is>
          <t>Low</t>
        </is>
      </c>
      <c r="AG17" s="27" t="inlineStr"/>
      <c r="AH17" s="6" t="inlineStr"/>
      <c r="AI17" s="9" t="inlineStr"/>
    </row>
    <row r="18">
      <c r="A18" s="10" t="inlineStr">
        <is>
          <t>E-016</t>
        </is>
      </c>
      <c r="B18" s="11" t="inlineStr">
        <is>
          <t>Washington</t>
        </is>
      </c>
      <c r="C18" s="11" t="inlineStr">
        <is>
          <t>Tyler</t>
        </is>
      </c>
      <c r="D18" s="11" t="inlineStr">
        <is>
          <t>t.washington@contractor.gov</t>
        </is>
      </c>
      <c r="E18" s="11" t="inlineStr">
        <is>
          <t>504-555-0116</t>
        </is>
      </c>
      <c r="F18" s="11" t="inlineStr">
        <is>
          <t>Supervisor</t>
        </is>
      </c>
      <c r="G18" s="11" t="inlineStr">
        <is>
          <t>Management</t>
        </is>
      </c>
      <c r="H18" s="11" t="inlineStr">
        <is>
          <t>GS-SURGE-2026</t>
        </is>
      </c>
      <c r="I18" s="11" t="inlineStr">
        <is>
          <t>Program Mgr</t>
        </is>
      </c>
      <c r="J18" s="11" t="inlineStr">
        <is>
          <t>Management</t>
        </is>
      </c>
      <c r="K18" s="28" t="n">
        <v>46096</v>
      </c>
      <c r="L18" s="28" t="n">
        <v>46101</v>
      </c>
      <c r="M18" s="11" t="inlineStr">
        <is>
          <t>Deployed</t>
        </is>
      </c>
      <c r="N18" s="11" t="inlineStr">
        <is>
          <t>Secret</t>
        </is>
      </c>
      <c r="O18" s="11" t="inlineStr">
        <is>
          <t>Active</t>
        </is>
      </c>
      <c r="P18" s="28" t="n">
        <v>46098</v>
      </c>
      <c r="Q18" s="28" t="n">
        <v>46099</v>
      </c>
      <c r="R18" s="11" t="inlineStr">
        <is>
          <t>Y</t>
        </is>
      </c>
      <c r="S18" s="11" t="inlineStr">
        <is>
          <t>Y</t>
        </is>
      </c>
      <c r="T18" s="11" t="inlineStr">
        <is>
          <t>Y</t>
        </is>
      </c>
      <c r="U18" s="11" t="inlineStr">
        <is>
          <t>Ready</t>
        </is>
      </c>
      <c r="V18" s="11" t="inlineStr">
        <is>
          <t>Complete</t>
        </is>
      </c>
      <c r="W18" s="28" t="n">
        <v>46103</v>
      </c>
      <c r="X18" s="28" t="n"/>
      <c r="Y18" s="28" t="n"/>
      <c r="Z18" s="11" t="inlineStr">
        <is>
          <t>Y</t>
        </is>
      </c>
      <c r="AA18" s="11" t="n">
        <v>95</v>
      </c>
      <c r="AB18" s="11" t="inlineStr">
        <is>
          <t>Stable</t>
        </is>
      </c>
      <c r="AC18" s="11" t="inlineStr">
        <is>
          <t>Complete</t>
        </is>
      </c>
      <c r="AD18" s="11" t="inlineStr">
        <is>
          <t>Complete</t>
        </is>
      </c>
      <c r="AE18" s="11" t="inlineStr">
        <is>
          <t>Pending</t>
        </is>
      </c>
      <c r="AF18" s="11" t="inlineStr">
        <is>
          <t>Low</t>
        </is>
      </c>
      <c r="AG18" s="28" t="inlineStr"/>
      <c r="AH18" s="11" t="inlineStr"/>
      <c r="AI18" s="14" t="inlineStr"/>
    </row>
    <row r="19">
      <c r="A19" s="5" t="inlineStr">
        <is>
          <t>E-017</t>
        </is>
      </c>
      <c r="B19" s="6" t="inlineStr">
        <is>
          <t>Chen</t>
        </is>
      </c>
      <c r="C19" s="6" t="inlineStr">
        <is>
          <t>Lisa</t>
        </is>
      </c>
      <c r="D19" s="6" t="inlineStr">
        <is>
          <t>l.chen@contractor.gov</t>
        </is>
      </c>
      <c r="E19" s="6" t="inlineStr">
        <is>
          <t>504-555-0117</t>
        </is>
      </c>
      <c r="F19" s="6" t="inlineStr">
        <is>
          <t>Supervisor</t>
        </is>
      </c>
      <c r="G19" s="6" t="inlineStr">
        <is>
          <t>Management</t>
        </is>
      </c>
      <c r="H19" s="6" t="inlineStr">
        <is>
          <t>GS-SURGE-2026</t>
        </is>
      </c>
      <c r="I19" s="6" t="inlineStr">
        <is>
          <t>Program Mgr</t>
        </is>
      </c>
      <c r="J19" s="6" t="inlineStr">
        <is>
          <t>Management</t>
        </is>
      </c>
      <c r="K19" s="27" t="n">
        <v>46096</v>
      </c>
      <c r="L19" s="27" t="n">
        <v>46101</v>
      </c>
      <c r="M19" s="6" t="inlineStr">
        <is>
          <t>Deployed</t>
        </is>
      </c>
      <c r="N19" s="6" t="inlineStr">
        <is>
          <t>Secret</t>
        </is>
      </c>
      <c r="O19" s="6" t="inlineStr">
        <is>
          <t>Active</t>
        </is>
      </c>
      <c r="P19" s="27" t="n">
        <v>46098</v>
      </c>
      <c r="Q19" s="27" t="n">
        <v>46099</v>
      </c>
      <c r="R19" s="6" t="inlineStr">
        <is>
          <t>Y</t>
        </is>
      </c>
      <c r="S19" s="6" t="inlineStr">
        <is>
          <t>Y</t>
        </is>
      </c>
      <c r="T19" s="6" t="inlineStr">
        <is>
          <t>Y</t>
        </is>
      </c>
      <c r="U19" s="6" t="inlineStr">
        <is>
          <t>Ready</t>
        </is>
      </c>
      <c r="V19" s="6" t="inlineStr">
        <is>
          <t>Complete</t>
        </is>
      </c>
      <c r="W19" s="27" t="n">
        <v>46103</v>
      </c>
      <c r="X19" s="27" t="n"/>
      <c r="Y19" s="27" t="n"/>
      <c r="Z19" s="6" t="inlineStr">
        <is>
          <t>Y</t>
        </is>
      </c>
      <c r="AA19" s="6" t="n">
        <v>93</v>
      </c>
      <c r="AB19" s="6" t="inlineStr">
        <is>
          <t>Stable</t>
        </is>
      </c>
      <c r="AC19" s="6" t="inlineStr">
        <is>
          <t>Complete</t>
        </is>
      </c>
      <c r="AD19" s="6" t="inlineStr">
        <is>
          <t>Complete</t>
        </is>
      </c>
      <c r="AE19" s="6" t="inlineStr">
        <is>
          <t>Pending</t>
        </is>
      </c>
      <c r="AF19" s="6" t="inlineStr">
        <is>
          <t>Low</t>
        </is>
      </c>
      <c r="AG19" s="27" t="inlineStr"/>
      <c r="AH19" s="6" t="inlineStr"/>
      <c r="AI19" s="9" t="inlineStr"/>
    </row>
    <row r="20">
      <c r="A20" s="10" t="inlineStr">
        <is>
          <t>E-018</t>
        </is>
      </c>
      <c r="B20" s="11" t="inlineStr">
        <is>
          <t>Patel</t>
        </is>
      </c>
      <c r="C20" s="11" t="inlineStr">
        <is>
          <t>Sanjay</t>
        </is>
      </c>
      <c r="D20" s="11" t="inlineStr">
        <is>
          <t>s.patel@contractor.gov</t>
        </is>
      </c>
      <c r="E20" s="11" t="inlineStr">
        <is>
          <t>504-555-0118</t>
        </is>
      </c>
      <c r="F20" s="11" t="inlineStr">
        <is>
          <t>Recruiting Lead</t>
        </is>
      </c>
      <c r="G20" s="11" t="inlineStr">
        <is>
          <t>Recruiting</t>
        </is>
      </c>
      <c r="H20" s="11" t="inlineStr">
        <is>
          <t>GS-SURGE-2026</t>
        </is>
      </c>
      <c r="I20" s="11" t="inlineStr">
        <is>
          <t>Program Mgr</t>
        </is>
      </c>
      <c r="J20" s="11" t="inlineStr">
        <is>
          <t>Recruiting</t>
        </is>
      </c>
      <c r="K20" s="28" t="n">
        <v>46091</v>
      </c>
      <c r="L20" s="28" t="n">
        <v>46096</v>
      </c>
      <c r="M20" s="11" t="inlineStr">
        <is>
          <t>Deployed</t>
        </is>
      </c>
      <c r="N20" s="11" t="inlineStr">
        <is>
          <t>Public Trust</t>
        </is>
      </c>
      <c r="O20" s="11" t="inlineStr">
        <is>
          <t>Active</t>
        </is>
      </c>
      <c r="P20" s="28" t="n">
        <v>46093</v>
      </c>
      <c r="Q20" s="28" t="n">
        <v>46094</v>
      </c>
      <c r="R20" s="11" t="inlineStr">
        <is>
          <t>Y</t>
        </is>
      </c>
      <c r="S20" s="11" t="inlineStr">
        <is>
          <t>Y</t>
        </is>
      </c>
      <c r="T20" s="11" t="inlineStr">
        <is>
          <t>Y</t>
        </is>
      </c>
      <c r="U20" s="11" t="inlineStr">
        <is>
          <t>Ready</t>
        </is>
      </c>
      <c r="V20" s="11" t="inlineStr">
        <is>
          <t>Complete</t>
        </is>
      </c>
      <c r="W20" s="28" t="n">
        <v>46097</v>
      </c>
      <c r="X20" s="28" t="n"/>
      <c r="Y20" s="28" t="n"/>
      <c r="Z20" s="11" t="inlineStr">
        <is>
          <t>Y</t>
        </is>
      </c>
      <c r="AA20" s="11" t="inlineStr"/>
      <c r="AB20" s="11" t="inlineStr"/>
      <c r="AC20" s="11" t="inlineStr">
        <is>
          <t>Complete</t>
        </is>
      </c>
      <c r="AD20" s="11" t="inlineStr">
        <is>
          <t>Complete</t>
        </is>
      </c>
      <c r="AE20" s="11" t="inlineStr">
        <is>
          <t>Complete</t>
        </is>
      </c>
      <c r="AF20" s="11" t="inlineStr">
        <is>
          <t>Low</t>
        </is>
      </c>
      <c r="AG20" s="28" t="inlineStr"/>
      <c r="AH20" s="11" t="inlineStr"/>
      <c r="AI20" s="14" t="inlineStr"/>
    </row>
    <row r="21">
      <c r="A21" s="5" t="inlineStr">
        <is>
          <t>E-019</t>
        </is>
      </c>
      <c r="B21" s="6" t="inlineStr">
        <is>
          <t>Martinez</t>
        </is>
      </c>
      <c r="C21" s="6" t="inlineStr">
        <is>
          <t>Alex</t>
        </is>
      </c>
      <c r="D21" s="6" t="inlineStr">
        <is>
          <t>a.martinez@contractor.gov</t>
        </is>
      </c>
      <c r="E21" s="6" t="inlineStr">
        <is>
          <t>504-555-0119</t>
        </is>
      </c>
      <c r="F21" s="6" t="inlineStr">
        <is>
          <t>Case Analyst</t>
        </is>
      </c>
      <c r="G21" s="6" t="inlineStr">
        <is>
          <t>Analyst</t>
        </is>
      </c>
      <c r="H21" s="6" t="inlineStr">
        <is>
          <t>GS-SURGE-2026</t>
        </is>
      </c>
      <c r="I21" s="6" t="inlineStr">
        <is>
          <t>T. Washington</t>
        </is>
      </c>
      <c r="J21" s="6" t="inlineStr">
        <is>
          <t>Team Alpha</t>
        </is>
      </c>
      <c r="K21" s="27" t="n">
        <v>46115</v>
      </c>
      <c r="L21" s="27" t="n">
        <v>46121</v>
      </c>
      <c r="M21" s="6" t="inlineStr">
        <is>
          <t>Separated</t>
        </is>
      </c>
      <c r="N21" s="6" t="inlineStr">
        <is>
          <t>Public Trust</t>
        </is>
      </c>
      <c r="O21" s="6" t="inlineStr">
        <is>
          <t>Active</t>
        </is>
      </c>
      <c r="P21" s="27" t="n">
        <v>46117</v>
      </c>
      <c r="Q21" s="27" t="n">
        <v>46119</v>
      </c>
      <c r="R21" s="6" t="inlineStr">
        <is>
          <t>Y</t>
        </is>
      </c>
      <c r="S21" s="6" t="inlineStr">
        <is>
          <t>Y</t>
        </is>
      </c>
      <c r="T21" s="6" t="inlineStr">
        <is>
          <t>Y</t>
        </is>
      </c>
      <c r="U21" s="6" t="inlineStr">
        <is>
          <t>Ready</t>
        </is>
      </c>
      <c r="V21" s="6" t="inlineStr">
        <is>
          <t>Complete</t>
        </is>
      </c>
      <c r="W21" s="27" t="n">
        <v>46124</v>
      </c>
      <c r="X21" s="27" t="n">
        <v>46125</v>
      </c>
      <c r="Y21" s="27" t="n">
        <v>46129</v>
      </c>
      <c r="Z21" s="6" t="inlineStr">
        <is>
          <t>Y</t>
        </is>
      </c>
      <c r="AA21" s="6" t="n">
        <v>72</v>
      </c>
      <c r="AB21" s="6" t="inlineStr">
        <is>
          <t>Declining</t>
        </is>
      </c>
      <c r="AC21" s="6" t="inlineStr">
        <is>
          <t>Complete</t>
        </is>
      </c>
      <c r="AD21" s="6" t="inlineStr"/>
      <c r="AE21" s="6" t="inlineStr"/>
      <c r="AF21" s="6" t="inlineStr"/>
      <c r="AG21" s="27" t="n">
        <v>46130</v>
      </c>
      <c r="AH21" s="6" t="inlineStr">
        <is>
          <t>Voluntary - personal reasons</t>
        </is>
      </c>
      <c r="AI21" s="9" t="inlineStr">
        <is>
          <t>Returned equipment</t>
        </is>
      </c>
    </row>
    <row r="22">
      <c r="A22" s="22" t="inlineStr">
        <is>
          <t>E-020</t>
        </is>
      </c>
      <c r="B22" s="23" t="inlineStr">
        <is>
          <t>Brooks</t>
        </is>
      </c>
      <c r="C22" s="23" t="inlineStr">
        <is>
          <t>Dana</t>
        </is>
      </c>
      <c r="D22" s="23" t="inlineStr">
        <is>
          <t>d.brooks@contractor.gov</t>
        </is>
      </c>
      <c r="E22" s="23" t="inlineStr">
        <is>
          <t>504-555-0120</t>
        </is>
      </c>
      <c r="F22" s="23" t="inlineStr">
        <is>
          <t>Help Desk Tech</t>
        </is>
      </c>
      <c r="G22" s="23" t="inlineStr">
        <is>
          <t>IT</t>
        </is>
      </c>
      <c r="H22" s="23" t="inlineStr">
        <is>
          <t>GS-SURGE-2026</t>
        </is>
      </c>
      <c r="I22" s="23" t="inlineStr">
        <is>
          <t>M. Kim</t>
        </is>
      </c>
      <c r="J22" s="23" t="inlineStr">
        <is>
          <t>IT Support</t>
        </is>
      </c>
      <c r="K22" s="32" t="n">
        <v>46122</v>
      </c>
      <c r="L22" s="32" t="n">
        <v>46128</v>
      </c>
      <c r="M22" s="23" t="inlineStr">
        <is>
          <t>Training</t>
        </is>
      </c>
      <c r="N22" s="23" t="inlineStr">
        <is>
          <t>Public Trust</t>
        </is>
      </c>
      <c r="O22" s="23" t="inlineStr">
        <is>
          <t>Active</t>
        </is>
      </c>
      <c r="P22" s="32" t="n">
        <v>46124</v>
      </c>
      <c r="Q22" s="32" t="n">
        <v>46126</v>
      </c>
      <c r="R22" s="23" t="inlineStr">
        <is>
          <t>Y</t>
        </is>
      </c>
      <c r="S22" s="23" t="inlineStr">
        <is>
          <t>Y</t>
        </is>
      </c>
      <c r="T22" s="23" t="inlineStr">
        <is>
          <t>Y</t>
        </is>
      </c>
      <c r="U22" s="23" t="inlineStr">
        <is>
          <t>Ready</t>
        </is>
      </c>
      <c r="V22" s="23" t="inlineStr">
        <is>
          <t>In Progress</t>
        </is>
      </c>
      <c r="W22" s="32" t="n"/>
      <c r="X22" s="32" t="n"/>
      <c r="Y22" s="32" t="n"/>
      <c r="Z22" s="23" t="inlineStr">
        <is>
          <t>N</t>
        </is>
      </c>
      <c r="AA22" s="23" t="inlineStr"/>
      <c r="AB22" s="23" t="inlineStr"/>
      <c r="AC22" s="23" t="inlineStr">
        <is>
          <t>Pending</t>
        </is>
      </c>
      <c r="AD22" s="23" t="inlineStr"/>
      <c r="AE22" s="23" t="inlineStr"/>
      <c r="AF22" s="23" t="inlineStr">
        <is>
          <t>Low</t>
        </is>
      </c>
      <c r="AG22" s="32" t="inlineStr"/>
      <c r="AH22" s="23" t="inlineStr"/>
      <c r="AI22" s="26" t="inlineStr"/>
    </row>
  </sheetData>
  <mergeCells count="1">
    <mergeCell ref="A1:AI1"/>
  </mergeCells>
  <dataValidations count="5">
    <dataValidation sqref="M3:M22" showDropDown="0" showInputMessage="0" showErrorMessage="0" allowBlank="1" type="list">
      <formula1>"Active,Training,Nesting,Deployed,Separated"</formula1>
    </dataValidation>
    <dataValidation sqref="U3:U22" showDropDown="0" showInputMessage="0" showErrorMessage="0" allowBlank="1" type="list">
      <formula1>"Ready,Pending,Blocked"</formula1>
    </dataValidation>
    <dataValidation sqref="V3:V22" showDropDown="0" showInputMessage="0" showErrorMessage="0" allowBlank="1" type="list">
      <formula1>"Not Started,In Progress,Complete"</formula1>
    </dataValidation>
    <dataValidation sqref="AB3:AB22" showDropDown="0" showInputMessage="0" showErrorMessage="0" allowBlank="1" type="list">
      <formula1>"Improving,Stable,Declining"</formula1>
    </dataValidation>
    <dataValidation sqref="AF3:AF2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STAFFING DASHBOARD — Workforce Operations View</t>
        </is>
      </c>
    </row>
    <row r="2"/>
    <row r="3">
      <c r="A3" s="105" t="inlineStr">
        <is>
          <t>HEADCOUNT BY STATUS</t>
        </is>
      </c>
      <c r="B3" s="122" t="n"/>
      <c r="D3" s="105" t="inlineStr">
        <is>
          <t>HEADCOUNT BY TEAM</t>
        </is>
      </c>
      <c r="E3" s="122" t="n"/>
      <c r="G3" s="105" t="inlineStr">
        <is>
          <t>HEADCOUNT BY SUPERVISOR</t>
        </is>
      </c>
      <c r="H3" s="122" t="n"/>
      <c r="J3" s="105" t="inlineStr">
        <is>
          <t>RAMP PLAN vs ACTUAL</t>
        </is>
      </c>
      <c r="K3" s="123" t="n"/>
      <c r="L3" s="122" t="n"/>
    </row>
    <row r="4">
      <c r="A4" s="108" t="inlineStr">
        <is>
          <t>Deployed</t>
        </is>
      </c>
      <c r="B4" s="109">
        <f>COUNTIF('Employee Roster'!M3:M22,A4)</f>
        <v/>
      </c>
      <c r="D4" s="108" t="inlineStr">
        <is>
          <t>Team Alpha</t>
        </is>
      </c>
      <c r="E4" s="109">
        <f>COUNTIF('Employee Roster'!J3:J22,D4)</f>
        <v/>
      </c>
      <c r="G4" s="108" t="inlineStr">
        <is>
          <t>T. Washington</t>
        </is>
      </c>
      <c r="H4" s="109">
        <f>COUNTIF('Employee Roster'!I3:I22,G4)</f>
        <v/>
      </c>
      <c r="J4" s="110" t="inlineStr">
        <is>
          <t>Period</t>
        </is>
      </c>
      <c r="K4" s="111" t="inlineStr">
        <is>
          <t>Actual</t>
        </is>
      </c>
      <c r="L4" s="112" t="inlineStr">
        <is>
          <t>Target</t>
        </is>
      </c>
    </row>
    <row r="5">
      <c r="A5" s="108" t="inlineStr">
        <is>
          <t>Training</t>
        </is>
      </c>
      <c r="B5" s="109">
        <f>COUNTIF('Employee Roster'!M3:M22,A5)</f>
        <v/>
      </c>
      <c r="D5" s="108" t="inlineStr">
        <is>
          <t>Team Beta</t>
        </is>
      </c>
      <c r="E5" s="109">
        <f>COUNTIF('Employee Roster'!J3:J22,D5)</f>
        <v/>
      </c>
      <c r="G5" s="108" t="inlineStr">
        <is>
          <t>L. Chen</t>
        </is>
      </c>
      <c r="H5" s="109">
        <f>COUNTIF('Employee Roster'!I3:I22,G5)</f>
        <v/>
      </c>
      <c r="J5" s="113" t="inlineStr">
        <is>
          <t>Pre-Surge</t>
        </is>
      </c>
      <c r="K5" s="94" t="n">
        <v>3</v>
      </c>
      <c r="L5" s="109" t="n">
        <v>3</v>
      </c>
    </row>
    <row r="6">
      <c r="A6" s="108" t="inlineStr">
        <is>
          <t>Nesting</t>
        </is>
      </c>
      <c r="B6" s="109">
        <f>COUNTIF('Employee Roster'!M3:M22,A6)</f>
        <v/>
      </c>
      <c r="D6" s="108" t="inlineStr">
        <is>
          <t>IT Support</t>
        </is>
      </c>
      <c r="E6" s="109">
        <f>COUNTIF('Employee Roster'!J3:J22,D6)</f>
        <v/>
      </c>
      <c r="G6" s="108" t="inlineStr">
        <is>
          <t>M. Kim</t>
        </is>
      </c>
      <c r="H6" s="109">
        <f>COUNTIF('Employee Roster'!I3:I22,G6)</f>
        <v/>
      </c>
      <c r="J6" s="113" t="inlineStr">
        <is>
          <t>Week 1</t>
        </is>
      </c>
      <c r="K6" s="94" t="n">
        <v>10</v>
      </c>
      <c r="L6" s="109" t="n">
        <v>12</v>
      </c>
    </row>
    <row r="7">
      <c r="A7" s="108" t="inlineStr">
        <is>
          <t>Onboarding</t>
        </is>
      </c>
      <c r="B7" s="109">
        <f>COUNTIF('Employee Roster'!M3:M22,A7)</f>
        <v/>
      </c>
      <c r="D7" s="108" t="inlineStr">
        <is>
          <t>Quality</t>
        </is>
      </c>
      <c r="E7" s="109">
        <f>COUNTIF('Employee Roster'!J3:J22,D7)</f>
        <v/>
      </c>
      <c r="G7" s="114" t="inlineStr">
        <is>
          <t>Program Mgr</t>
        </is>
      </c>
      <c r="H7" s="115">
        <f>COUNTIF('Employee Roster'!I3:I22,G7)</f>
        <v/>
      </c>
      <c r="J7" s="113" t="inlineStr">
        <is>
          <t>Week 2</t>
        </is>
      </c>
      <c r="K7" s="94" t="n">
        <v>18</v>
      </c>
      <c r="L7" s="109" t="n">
        <v>20</v>
      </c>
    </row>
    <row r="8">
      <c r="A8" s="108" t="inlineStr">
        <is>
          <t>Separated</t>
        </is>
      </c>
      <c r="B8" s="109">
        <f>COUNTIF('Employee Roster'!M3:M22,A8)</f>
        <v/>
      </c>
      <c r="D8" s="108" t="inlineStr">
        <is>
          <t>Security</t>
        </is>
      </c>
      <c r="E8" s="109">
        <f>COUNTIF('Employee Roster'!J3:J22,D8)</f>
        <v/>
      </c>
      <c r="J8" s="113" t="inlineStr">
        <is>
          <t>Week 3</t>
        </is>
      </c>
      <c r="K8" s="94" t="n">
        <v>25</v>
      </c>
      <c r="L8" s="109" t="n">
        <v>28</v>
      </c>
    </row>
    <row r="9">
      <c r="A9" s="116" t="inlineStr">
        <is>
          <t>TOTAL ACTIVE</t>
        </is>
      </c>
      <c r="B9" s="117">
        <f>SUM(B4:B7)</f>
        <v/>
      </c>
      <c r="D9" s="108" t="inlineStr">
        <is>
          <t>Training</t>
        </is>
      </c>
      <c r="E9" s="109">
        <f>COUNTIF('Employee Roster'!J3:J22,D9)</f>
        <v/>
      </c>
      <c r="J9" s="118" t="inlineStr">
        <is>
          <t>Week 4 (Plan)</t>
        </is>
      </c>
      <c r="K9" s="119" t="n">
        <v>32</v>
      </c>
      <c r="L9" s="115" t="n">
        <v>35</v>
      </c>
    </row>
    <row r="10">
      <c r="D10" s="108" t="inlineStr">
        <is>
          <t>Management</t>
        </is>
      </c>
      <c r="E10" s="109">
        <f>COUNTIF('Employee Roster'!J3:J22,D10)</f>
        <v/>
      </c>
    </row>
    <row r="11">
      <c r="D11" s="114" t="inlineStr">
        <is>
          <t>Recruiting</t>
        </is>
      </c>
      <c r="E11" s="115">
        <f>COUNTIF('Employee Roster'!J3:J22,D11)</f>
        <v/>
      </c>
    </row>
    <row r="12"/>
    <row r="13">
      <c r="A13" s="105" t="inlineStr">
        <is>
          <t>EQUIPMENT TRACKING SUMMARY</t>
        </is>
      </c>
      <c r="B13" s="123" t="n"/>
      <c r="C13" s="122" t="n"/>
      <c r="E13" s="105" t="inlineStr">
        <is>
          <t>REMOTE READINESS</t>
        </is>
      </c>
      <c r="F13" s="122" t="n"/>
      <c r="H13" s="105" t="inlineStr">
        <is>
          <t>TRAINING PIPELINE</t>
        </is>
      </c>
      <c r="I13" s="122" t="n"/>
    </row>
    <row r="14">
      <c r="A14" s="110" t="inlineStr">
        <is>
          <t>Metric</t>
        </is>
      </c>
      <c r="B14" s="111" t="inlineStr">
        <is>
          <t>Count</t>
        </is>
      </c>
      <c r="C14" s="112" t="inlineStr">
        <is>
          <t>Rate</t>
        </is>
      </c>
      <c r="E14" s="108" t="inlineStr">
        <is>
          <t>Ready</t>
        </is>
      </c>
      <c r="F14" s="109">
        <f>COUNTIF('Employee Roster'!U3:U22,E14)</f>
        <v/>
      </c>
      <c r="H14" s="108" t="inlineStr">
        <is>
          <t>Complete</t>
        </is>
      </c>
      <c r="I14" s="109">
        <f>COUNTIF('Employee Roster'!V3:V22,H14)</f>
        <v/>
      </c>
    </row>
    <row r="15">
      <c r="A15" s="108" t="inlineStr">
        <is>
          <t>Total Employees</t>
        </is>
      </c>
      <c r="B15" s="94">
        <f>COUNTA('Employee Roster'!A3:A22)</f>
        <v/>
      </c>
      <c r="C15" s="109" t="inlineStr"/>
      <c r="E15" s="108" t="inlineStr">
        <is>
          <t>Pending</t>
        </is>
      </c>
      <c r="F15" s="109">
        <f>COUNTIF('Employee Roster'!U3:U22,E15)</f>
        <v/>
      </c>
      <c r="H15" s="108" t="inlineStr">
        <is>
          <t>In Progress</t>
        </is>
      </c>
      <c r="I15" s="109">
        <f>COUNTIF('Employee Roster'!V3:V22,H15)</f>
        <v/>
      </c>
    </row>
    <row r="16">
      <c r="A16" s="108" t="inlineStr">
        <is>
          <t>Equipment Shipped</t>
        </is>
      </c>
      <c r="B16" s="94">
        <f>COUNTIF('Employee Roster'!P3:P22,"&lt;&gt;")</f>
        <v/>
      </c>
      <c r="C16" s="120">
        <f>IF(B15=0,0,B16/B15)</f>
        <v/>
      </c>
      <c r="E16" s="114" t="inlineStr">
        <is>
          <t>Blocked</t>
        </is>
      </c>
      <c r="F16" s="115">
        <f>COUNTIF('Employee Roster'!U3:U22,E16)</f>
        <v/>
      </c>
      <c r="H16" s="114" t="inlineStr">
        <is>
          <t>Not Started</t>
        </is>
      </c>
      <c r="I16" s="115">
        <f>COUNTIF('Employee Roster'!V3:V22,H16)</f>
        <v/>
      </c>
    </row>
    <row r="17">
      <c r="A17" s="108" t="inlineStr">
        <is>
          <t>Equipment Delivered</t>
        </is>
      </c>
      <c r="B17" s="94">
        <f>COUNTIF('Employee Roster'!Q3:Q22,"&lt;&gt;")</f>
        <v/>
      </c>
      <c r="C17" s="120">
        <f>IF(B15=0,0,B17/B15)</f>
        <v/>
      </c>
    </row>
    <row r="18">
      <c r="A18" s="108" t="inlineStr">
        <is>
          <t>Equipment Verified</t>
        </is>
      </c>
      <c r="B18" s="94">
        <f>COUNTIF('Employee Roster'!R3:R22,"Y")</f>
        <v/>
      </c>
      <c r="C18" s="120">
        <f>IF(B15=0,0,B18/B15)</f>
        <v/>
      </c>
    </row>
    <row r="19">
      <c r="A19" s="108" t="inlineStr">
        <is>
          <t>Workspace Attested</t>
        </is>
      </c>
      <c r="B19" s="94">
        <f>COUNTIF('Employee Roster'!S3:S22,"Y")</f>
        <v/>
      </c>
      <c r="C19" s="120">
        <f>IF(B15=0,0,B19/B15)</f>
        <v/>
      </c>
    </row>
    <row r="20">
      <c r="A20" s="114" t="inlineStr">
        <is>
          <t>VPN Active</t>
        </is>
      </c>
      <c r="B20" s="119">
        <f>COUNTIF('Employee Roster'!T3:T22,"Y")</f>
        <v/>
      </c>
      <c r="C20" s="121">
        <f>IF(B15=0,0,B20/B15)</f>
        <v/>
      </c>
    </row>
  </sheetData>
  <mergeCells count="8">
    <mergeCell ref="A3:B3"/>
    <mergeCell ref="A13:C13"/>
    <mergeCell ref="H13:I13"/>
    <mergeCell ref="E13:F13"/>
    <mergeCell ref="D3:E3"/>
    <mergeCell ref="J3:L3"/>
    <mergeCell ref="G3:H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1" customWidth="1" min="4" max="4"/>
    <col width="15" customWidth="1" min="5" max="5"/>
    <col width="12" customWidth="1" min="6" max="6"/>
    <col width="11" customWidth="1" min="7" max="7"/>
    <col width="15" customWidth="1" min="8" max="8"/>
    <col width="12" customWidth="1" min="9" max="9"/>
    <col width="11" customWidth="1" min="10" max="10"/>
    <col width="15" customWidth="1" min="11" max="11"/>
    <col width="12" customWidth="1" min="12" max="12"/>
    <col width="11" customWidth="1" min="13" max="13"/>
    <col width="13" customWidth="1" min="14" max="14"/>
    <col width="12" customWidth="1" min="15" max="15"/>
    <col width="13" customWidth="1" min="16" max="16"/>
    <col width="22" customWidth="1" min="17" max="17"/>
    <col width="11" customWidth="1" min="18" max="18"/>
    <col width="20" customWidth="1" min="19" max="19"/>
  </cols>
  <sheetData>
    <row r="1" ht="30" customHeight="1">
      <c r="A1" s="1" t="inlineStr">
        <is>
          <t>RETENTION TRACKER</t>
        </is>
      </c>
    </row>
    <row r="2" ht="35" customHeight="1">
      <c r="A2" s="2" t="inlineStr">
        <is>
          <t>Employee ID</t>
        </is>
      </c>
      <c r="B2" s="3" t="inlineStr">
        <is>
          <t>Name</t>
        </is>
      </c>
      <c r="C2" s="3" t="inlineStr">
        <is>
          <t>Cohort</t>
        </is>
      </c>
      <c r="D2" s="3" t="inlineStr">
        <is>
          <t>Hire Date</t>
        </is>
      </c>
      <c r="E2" s="3" t="inlineStr">
        <is>
          <t>30-Day Check-in Date</t>
        </is>
      </c>
      <c r="F2" s="3" t="inlineStr">
        <is>
          <t>30-Day Status</t>
        </is>
      </c>
      <c r="G2" s="3" t="inlineStr">
        <is>
          <t>30-Day Score</t>
        </is>
      </c>
      <c r="H2" s="3" t="inlineStr">
        <is>
          <t>60-Day Check-in Date</t>
        </is>
      </c>
      <c r="I2" s="3" t="inlineStr">
        <is>
          <t>60-Day Status</t>
        </is>
      </c>
      <c r="J2" s="3" t="inlineStr">
        <is>
          <t>60-Day Score</t>
        </is>
      </c>
      <c r="K2" s="3" t="inlineStr">
        <is>
          <t>90-Day Check-in Date</t>
        </is>
      </c>
      <c r="L2" s="3" t="inlineStr">
        <is>
          <t>90-Day Status</t>
        </is>
      </c>
      <c r="M2" s="3" t="inlineStr">
        <is>
          <t>90-Day Score</t>
        </is>
      </c>
      <c r="N2" s="3" t="inlineStr">
        <is>
          <t>Engagement Score</t>
        </is>
      </c>
      <c r="O2" s="3" t="inlineStr">
        <is>
          <t>Attrition Risk</t>
        </is>
      </c>
      <c r="P2" s="3" t="inlineStr">
        <is>
          <t>Separation Date</t>
        </is>
      </c>
      <c r="Q2" s="3" t="inlineStr">
        <is>
          <t>Separation Reason</t>
        </is>
      </c>
      <c r="R2" s="3" t="inlineStr">
        <is>
          <t>Tenure Days</t>
        </is>
      </c>
      <c r="S2" s="4" t="inlineStr">
        <is>
          <t>Notes</t>
        </is>
      </c>
    </row>
    <row r="3">
      <c r="A3" s="5" t="inlineStr">
        <is>
          <t>E-001</t>
        </is>
      </c>
      <c r="B3" s="6" t="inlineStr">
        <is>
          <t>Maria Santos</t>
        </is>
      </c>
      <c r="C3" s="6" t="inlineStr">
        <is>
          <t>Cohort 1</t>
        </is>
      </c>
      <c r="D3" s="27" t="n">
        <v>46115</v>
      </c>
      <c r="E3" s="27" t="n">
        <v>46145</v>
      </c>
      <c r="F3" s="124" t="inlineStr">
        <is>
          <t>Complete</t>
        </is>
      </c>
      <c r="G3" s="6" t="n">
        <v>4.2</v>
      </c>
      <c r="H3" s="27" t="n"/>
      <c r="I3" s="127" t="inlineStr">
        <is>
          <t>Pending</t>
        </is>
      </c>
      <c r="J3" s="6" t="inlineStr"/>
      <c r="K3" s="27" t="n"/>
      <c r="L3" s="6" t="inlineStr"/>
      <c r="M3" s="6" t="inlineStr"/>
      <c r="N3" s="6" t="n">
        <v>4</v>
      </c>
      <c r="O3" s="124" t="inlineStr">
        <is>
          <t>Low</t>
        </is>
      </c>
      <c r="P3" s="27" t="inlineStr"/>
      <c r="Q3" s="6" t="inlineStr"/>
      <c r="R3" s="46">
        <f>IF(P3&lt;&gt;"",P3-D3,TODAY()-D3)</f>
        <v/>
      </c>
      <c r="S3" s="9" t="inlineStr"/>
    </row>
    <row r="4">
      <c r="A4" s="10" t="inlineStr">
        <is>
          <t>E-002</t>
        </is>
      </c>
      <c r="B4" s="11" t="inlineStr">
        <is>
          <t>James Mitchell</t>
        </is>
      </c>
      <c r="C4" s="11" t="inlineStr">
        <is>
          <t>Cohort 1</t>
        </is>
      </c>
      <c r="D4" s="28" t="n">
        <v>46116</v>
      </c>
      <c r="E4" s="28" t="n">
        <v>46146</v>
      </c>
      <c r="F4" s="124" t="inlineStr">
        <is>
          <t>Complete</t>
        </is>
      </c>
      <c r="G4" s="11" t="n">
        <v>3.8</v>
      </c>
      <c r="H4" s="28" t="n"/>
      <c r="I4" s="127" t="inlineStr">
        <is>
          <t>Pending</t>
        </is>
      </c>
      <c r="J4" s="11" t="inlineStr"/>
      <c r="K4" s="28" t="n"/>
      <c r="L4" s="11" t="inlineStr"/>
      <c r="M4" s="11" t="inlineStr"/>
      <c r="N4" s="11" t="n">
        <v>3.5</v>
      </c>
      <c r="O4" s="124" t="inlineStr">
        <is>
          <t>Low</t>
        </is>
      </c>
      <c r="P4" s="28" t="inlineStr"/>
      <c r="Q4" s="11" t="inlineStr"/>
      <c r="R4" s="47">
        <f>IF(P4&lt;&gt;"",P4-D4,TODAY()-D4)</f>
        <v/>
      </c>
      <c r="S4" s="14" t="inlineStr"/>
    </row>
    <row r="5">
      <c r="A5" s="5" t="inlineStr">
        <is>
          <t>E-003</t>
        </is>
      </c>
      <c r="B5" s="6" t="inlineStr">
        <is>
          <t>Aisha Johnson</t>
        </is>
      </c>
      <c r="C5" s="6" t="inlineStr">
        <is>
          <t>Cohort 1</t>
        </is>
      </c>
      <c r="D5" s="27" t="n">
        <v>46117</v>
      </c>
      <c r="E5" s="27" t="n">
        <v>46147</v>
      </c>
      <c r="F5" s="124" t="inlineStr">
        <is>
          <t>Complete</t>
        </is>
      </c>
      <c r="G5" s="6" t="n">
        <v>4.5</v>
      </c>
      <c r="H5" s="27" t="n"/>
      <c r="I5" s="127" t="inlineStr">
        <is>
          <t>Pending</t>
        </is>
      </c>
      <c r="J5" s="6" t="inlineStr"/>
      <c r="K5" s="27" t="n"/>
      <c r="L5" s="6" t="inlineStr"/>
      <c r="M5" s="6" t="inlineStr"/>
      <c r="N5" s="6" t="n">
        <v>4.3</v>
      </c>
      <c r="O5" s="124" t="inlineStr">
        <is>
          <t>Low</t>
        </is>
      </c>
      <c r="P5" s="27" t="inlineStr"/>
      <c r="Q5" s="6" t="inlineStr"/>
      <c r="R5" s="46">
        <f>IF(P5&lt;&gt;"",P5-D5,TODAY()-D5)</f>
        <v/>
      </c>
      <c r="S5" s="9" t="inlineStr"/>
    </row>
    <row r="6">
      <c r="A6" s="10" t="inlineStr">
        <is>
          <t>E-004</t>
        </is>
      </c>
      <c r="B6" s="11" t="inlineStr">
        <is>
          <t>Robert Williams</t>
        </is>
      </c>
      <c r="C6" s="11" t="inlineStr">
        <is>
          <t>Cohort 1</t>
        </is>
      </c>
      <c r="D6" s="28" t="n">
        <v>46118</v>
      </c>
      <c r="E6" s="28" t="n">
        <v>46148</v>
      </c>
      <c r="F6" s="127" t="inlineStr">
        <is>
          <t>Pending</t>
        </is>
      </c>
      <c r="G6" s="11" t="inlineStr"/>
      <c r="H6" s="28" t="n"/>
      <c r="I6" s="11" t="inlineStr"/>
      <c r="J6" s="11" t="inlineStr"/>
      <c r="K6" s="28" t="n"/>
      <c r="L6" s="11" t="inlineStr"/>
      <c r="M6" s="11" t="inlineStr"/>
      <c r="N6" s="11" t="n">
        <v>3.2</v>
      </c>
      <c r="O6" s="127" t="inlineStr">
        <is>
          <t>Medium</t>
        </is>
      </c>
      <c r="P6" s="28" t="inlineStr"/>
      <c r="Q6" s="11" t="inlineStr"/>
      <c r="R6" s="47">
        <f>IF(P6&lt;&gt;"",P6-D6,TODAY()-D6)</f>
        <v/>
      </c>
      <c r="S6" s="14" t="inlineStr">
        <is>
          <t>Clearance causing frustration</t>
        </is>
      </c>
    </row>
    <row r="7">
      <c r="A7" s="5" t="inlineStr">
        <is>
          <t>E-005</t>
        </is>
      </c>
      <c r="B7" s="6" t="inlineStr">
        <is>
          <t>Priya Sharma</t>
        </is>
      </c>
      <c r="C7" s="6" t="inlineStr">
        <is>
          <t>Cohort 1</t>
        </is>
      </c>
      <c r="D7" s="27" t="n">
        <v>46119</v>
      </c>
      <c r="E7" s="27" t="n">
        <v>46149</v>
      </c>
      <c r="F7" s="127" t="inlineStr">
        <is>
          <t>Pending</t>
        </is>
      </c>
      <c r="G7" s="6" t="inlineStr"/>
      <c r="H7" s="27" t="n"/>
      <c r="I7" s="6" t="inlineStr"/>
      <c r="J7" s="6" t="inlineStr"/>
      <c r="K7" s="27" t="n"/>
      <c r="L7" s="6" t="inlineStr"/>
      <c r="M7" s="6" t="inlineStr"/>
      <c r="N7" s="6" t="n">
        <v>3</v>
      </c>
      <c r="O7" s="127" t="inlineStr">
        <is>
          <t>Medium</t>
        </is>
      </c>
      <c r="P7" s="27" t="inlineStr"/>
      <c r="Q7" s="6" t="inlineStr"/>
      <c r="R7" s="46">
        <f>IF(P7&lt;&gt;"",P7-D7,TODAY()-D7)</f>
        <v/>
      </c>
      <c r="S7" s="9" t="inlineStr">
        <is>
          <t>QA scores declining</t>
        </is>
      </c>
    </row>
    <row r="8">
      <c r="A8" s="10" t="inlineStr">
        <is>
          <t>E-006</t>
        </is>
      </c>
      <c r="B8" s="11" t="inlineStr">
        <is>
          <t>David Thompson</t>
        </is>
      </c>
      <c r="C8" s="11" t="inlineStr">
        <is>
          <t>Cohort 1</t>
        </is>
      </c>
      <c r="D8" s="28" t="n">
        <v>46120</v>
      </c>
      <c r="E8" s="28" t="n">
        <v>46150</v>
      </c>
      <c r="F8" s="127" t="inlineStr">
        <is>
          <t>Pending</t>
        </is>
      </c>
      <c r="G8" s="11" t="inlineStr"/>
      <c r="H8" s="28" t="n"/>
      <c r="I8" s="11" t="inlineStr"/>
      <c r="J8" s="11" t="inlineStr"/>
      <c r="K8" s="28" t="n"/>
      <c r="L8" s="11" t="inlineStr"/>
      <c r="M8" s="11" t="inlineStr"/>
      <c r="N8" s="11" t="n">
        <v>4.5</v>
      </c>
      <c r="O8" s="124" t="inlineStr">
        <is>
          <t>Low</t>
        </is>
      </c>
      <c r="P8" s="28" t="inlineStr"/>
      <c r="Q8" s="11" t="inlineStr"/>
      <c r="R8" s="47">
        <f>IF(P8&lt;&gt;"",P8-D8,TODAY()-D8)</f>
        <v/>
      </c>
      <c r="S8" s="14" t="inlineStr"/>
    </row>
    <row r="9">
      <c r="A9" s="5" t="inlineStr">
        <is>
          <t>E-007</t>
        </is>
      </c>
      <c r="B9" s="6" t="inlineStr">
        <is>
          <t>Sarah Brown</t>
        </is>
      </c>
      <c r="C9" s="6" t="inlineStr">
        <is>
          <t>Cohort 1</t>
        </is>
      </c>
      <c r="D9" s="27" t="n">
        <v>46123</v>
      </c>
      <c r="E9" s="27" t="n">
        <v>46153</v>
      </c>
      <c r="F9" s="127" t="inlineStr">
        <is>
          <t>Pending</t>
        </is>
      </c>
      <c r="G9" s="6" t="inlineStr"/>
      <c r="H9" s="27" t="n"/>
      <c r="I9" s="6" t="inlineStr"/>
      <c r="J9" s="6" t="inlineStr"/>
      <c r="K9" s="27" t="n"/>
      <c r="L9" s="6" t="inlineStr"/>
      <c r="M9" s="6" t="inlineStr"/>
      <c r="N9" s="6" t="n">
        <v>3.8</v>
      </c>
      <c r="O9" s="124" t="inlineStr">
        <is>
          <t>Low</t>
        </is>
      </c>
      <c r="P9" s="27" t="inlineStr"/>
      <c r="Q9" s="6" t="inlineStr"/>
      <c r="R9" s="46">
        <f>IF(P9&lt;&gt;"",P9-D9,TODAY()-D9)</f>
        <v/>
      </c>
      <c r="S9" s="9" t="inlineStr"/>
    </row>
    <row r="10">
      <c r="A10" s="10" t="inlineStr">
        <is>
          <t>E-011</t>
        </is>
      </c>
      <c r="B10" s="11" t="inlineStr">
        <is>
          <t>Jason Parker</t>
        </is>
      </c>
      <c r="C10" s="11" t="inlineStr">
        <is>
          <t>Cohort 1</t>
        </is>
      </c>
      <c r="D10" s="28" t="n">
        <v>46115</v>
      </c>
      <c r="E10" s="28" t="n">
        <v>46145</v>
      </c>
      <c r="F10" s="124" t="inlineStr">
        <is>
          <t>Complete</t>
        </is>
      </c>
      <c r="G10" s="11" t="n">
        <v>4</v>
      </c>
      <c r="H10" s="28" t="n"/>
      <c r="I10" s="127" t="inlineStr">
        <is>
          <t>Pending</t>
        </is>
      </c>
      <c r="J10" s="11" t="inlineStr"/>
      <c r="K10" s="28" t="n"/>
      <c r="L10" s="11" t="inlineStr"/>
      <c r="M10" s="11" t="inlineStr"/>
      <c r="N10" s="11" t="n">
        <v>3.9</v>
      </c>
      <c r="O10" s="124" t="inlineStr">
        <is>
          <t>Low</t>
        </is>
      </c>
      <c r="P10" s="28" t="inlineStr"/>
      <c r="Q10" s="11" t="inlineStr"/>
      <c r="R10" s="47">
        <f>IF(P10&lt;&gt;"",P10-D10,TODAY()-D10)</f>
        <v/>
      </c>
      <c r="S10" s="14" t="inlineStr"/>
    </row>
    <row r="11">
      <c r="A11" s="5" t="inlineStr">
        <is>
          <t>E-012</t>
        </is>
      </c>
      <c r="B11" s="6" t="inlineStr">
        <is>
          <t>Carmen Rivera</t>
        </is>
      </c>
      <c r="C11" s="6" t="inlineStr">
        <is>
          <t>Cohort 1</t>
        </is>
      </c>
      <c r="D11" s="27" t="n">
        <v>46116</v>
      </c>
      <c r="E11" s="27" t="n">
        <v>46146</v>
      </c>
      <c r="F11" s="124" t="inlineStr">
        <is>
          <t>Complete</t>
        </is>
      </c>
      <c r="G11" s="6" t="n">
        <v>2.8</v>
      </c>
      <c r="H11" s="27" t="n"/>
      <c r="I11" s="127" t="inlineStr">
        <is>
          <t>Pending</t>
        </is>
      </c>
      <c r="J11" s="6" t="inlineStr"/>
      <c r="K11" s="27" t="n"/>
      <c r="L11" s="6" t="inlineStr"/>
      <c r="M11" s="6" t="inlineStr"/>
      <c r="N11" s="6" t="n">
        <v>2.5</v>
      </c>
      <c r="O11" s="126" t="inlineStr">
        <is>
          <t>High</t>
        </is>
      </c>
      <c r="P11" s="27" t="inlineStr"/>
      <c r="Q11" s="6" t="inlineStr"/>
      <c r="R11" s="46">
        <f>IF(P11&lt;&gt;"",P11-D11,TODAY()-D11)</f>
        <v/>
      </c>
      <c r="S11" s="9" t="inlineStr">
        <is>
          <t>Expressed dissatisfaction</t>
        </is>
      </c>
    </row>
    <row r="12">
      <c r="A12" s="10" t="inlineStr">
        <is>
          <t>E-013</t>
        </is>
      </c>
      <c r="B12" s="11" t="inlineStr">
        <is>
          <t>Tran Nguyen</t>
        </is>
      </c>
      <c r="C12" s="11" t="inlineStr">
        <is>
          <t>Cohort 1</t>
        </is>
      </c>
      <c r="D12" s="28" t="n">
        <v>46117</v>
      </c>
      <c r="E12" s="28" t="n">
        <v>46147</v>
      </c>
      <c r="F12" s="124" t="inlineStr">
        <is>
          <t>Complete</t>
        </is>
      </c>
      <c r="G12" s="11" t="n">
        <v>4.1</v>
      </c>
      <c r="H12" s="28" t="n"/>
      <c r="I12" s="127" t="inlineStr">
        <is>
          <t>Pending</t>
        </is>
      </c>
      <c r="J12" s="11" t="inlineStr"/>
      <c r="K12" s="28" t="n"/>
      <c r="L12" s="11" t="inlineStr"/>
      <c r="M12" s="11" t="inlineStr"/>
      <c r="N12" s="11" t="n">
        <v>4</v>
      </c>
      <c r="O12" s="124" t="inlineStr">
        <is>
          <t>Low</t>
        </is>
      </c>
      <c r="P12" s="28" t="inlineStr"/>
      <c r="Q12" s="11" t="inlineStr"/>
      <c r="R12" s="47">
        <f>IF(P12&lt;&gt;"",P12-D12,TODAY()-D12)</f>
        <v/>
      </c>
      <c r="S12" s="14" t="inlineStr"/>
    </row>
    <row r="13">
      <c r="A13" s="5" t="inlineStr">
        <is>
          <t>E-014</t>
        </is>
      </c>
      <c r="B13" s="6" t="inlineStr">
        <is>
          <t>Derek Foster</t>
        </is>
      </c>
      <c r="C13" s="6" t="inlineStr">
        <is>
          <t>Cohort 1</t>
        </is>
      </c>
      <c r="D13" s="27" t="n">
        <v>46118</v>
      </c>
      <c r="E13" s="27" t="n">
        <v>46148</v>
      </c>
      <c r="F13" s="127" t="inlineStr">
        <is>
          <t>Pending</t>
        </is>
      </c>
      <c r="G13" s="6" t="inlineStr"/>
      <c r="H13" s="27" t="n"/>
      <c r="I13" s="6" t="inlineStr"/>
      <c r="J13" s="6" t="inlineStr"/>
      <c r="K13" s="27" t="n"/>
      <c r="L13" s="6" t="inlineStr"/>
      <c r="M13" s="6" t="inlineStr"/>
      <c r="N13" s="6" t="n">
        <v>3.6</v>
      </c>
      <c r="O13" s="124" t="inlineStr">
        <is>
          <t>Low</t>
        </is>
      </c>
      <c r="P13" s="27" t="inlineStr"/>
      <c r="Q13" s="6" t="inlineStr"/>
      <c r="R13" s="46">
        <f>IF(P13&lt;&gt;"",P13-D13,TODAY()-D13)</f>
        <v/>
      </c>
      <c r="S13" s="9" t="inlineStr"/>
    </row>
    <row r="14">
      <c r="A14" s="10" t="inlineStr">
        <is>
          <t>E-015</t>
        </is>
      </c>
      <c r="B14" s="11" t="inlineStr">
        <is>
          <t>Susan Kim</t>
        </is>
      </c>
      <c r="C14" s="11" t="inlineStr">
        <is>
          <t>Cohort 1</t>
        </is>
      </c>
      <c r="D14" s="28" t="n">
        <v>46119</v>
      </c>
      <c r="E14" s="28" t="n">
        <v>46149</v>
      </c>
      <c r="F14" s="127" t="inlineStr">
        <is>
          <t>Pending</t>
        </is>
      </c>
      <c r="G14" s="11" t="inlineStr"/>
      <c r="H14" s="28" t="n"/>
      <c r="I14" s="11" t="inlineStr"/>
      <c r="J14" s="11" t="inlineStr"/>
      <c r="K14" s="28" t="n"/>
      <c r="L14" s="11" t="inlineStr"/>
      <c r="M14" s="11" t="inlineStr"/>
      <c r="N14" s="11" t="n">
        <v>4.2</v>
      </c>
      <c r="O14" s="124" t="inlineStr">
        <is>
          <t>Low</t>
        </is>
      </c>
      <c r="P14" s="28" t="inlineStr"/>
      <c r="Q14" s="11" t="inlineStr"/>
      <c r="R14" s="47">
        <f>IF(P14&lt;&gt;"",P14-D14,TODAY()-D14)</f>
        <v/>
      </c>
      <c r="S14" s="14" t="inlineStr"/>
    </row>
    <row r="15">
      <c r="A15" s="5" t="inlineStr">
        <is>
          <t>E-016</t>
        </is>
      </c>
      <c r="B15" s="6" t="inlineStr">
        <is>
          <t>Tyler Washington</t>
        </is>
      </c>
      <c r="C15" s="6" t="inlineStr">
        <is>
          <t>Pre-Surge</t>
        </is>
      </c>
      <c r="D15" s="27" t="n">
        <v>46096</v>
      </c>
      <c r="E15" s="27" t="n">
        <v>46126</v>
      </c>
      <c r="F15" s="124" t="inlineStr">
        <is>
          <t>Complete</t>
        </is>
      </c>
      <c r="G15" s="6" t="n">
        <v>4.8</v>
      </c>
      <c r="H15" s="27" t="n">
        <v>46156</v>
      </c>
      <c r="I15" s="124" t="inlineStr">
        <is>
          <t>Complete</t>
        </is>
      </c>
      <c r="J15" s="6" t="n">
        <v>4.7</v>
      </c>
      <c r="K15" s="27" t="n"/>
      <c r="L15" s="127" t="inlineStr">
        <is>
          <t>Pending</t>
        </is>
      </c>
      <c r="M15" s="6" t="inlineStr"/>
      <c r="N15" s="6" t="n">
        <v>4.9</v>
      </c>
      <c r="O15" s="124" t="inlineStr">
        <is>
          <t>Low</t>
        </is>
      </c>
      <c r="P15" s="27" t="inlineStr"/>
      <c r="Q15" s="6" t="inlineStr"/>
      <c r="R15" s="46">
        <f>IF(P15&lt;&gt;"",P15-D15,TODAY()-D15)</f>
        <v/>
      </c>
      <c r="S15" s="9" t="inlineStr"/>
    </row>
    <row r="16">
      <c r="A16" s="10" t="inlineStr">
        <is>
          <t>E-017</t>
        </is>
      </c>
      <c r="B16" s="11" t="inlineStr">
        <is>
          <t>Lisa Chen</t>
        </is>
      </c>
      <c r="C16" s="11" t="inlineStr">
        <is>
          <t>Pre-Surge</t>
        </is>
      </c>
      <c r="D16" s="28" t="n">
        <v>46096</v>
      </c>
      <c r="E16" s="28" t="n">
        <v>46126</v>
      </c>
      <c r="F16" s="124" t="inlineStr">
        <is>
          <t>Complete</t>
        </is>
      </c>
      <c r="G16" s="11" t="n">
        <v>4.6</v>
      </c>
      <c r="H16" s="28" t="n">
        <v>46156</v>
      </c>
      <c r="I16" s="124" t="inlineStr">
        <is>
          <t>Complete</t>
        </is>
      </c>
      <c r="J16" s="11" t="n">
        <v>4.5</v>
      </c>
      <c r="K16" s="28" t="n"/>
      <c r="L16" s="127" t="inlineStr">
        <is>
          <t>Pending</t>
        </is>
      </c>
      <c r="M16" s="11" t="inlineStr"/>
      <c r="N16" s="11" t="n">
        <v>4.7</v>
      </c>
      <c r="O16" s="124" t="inlineStr">
        <is>
          <t>Low</t>
        </is>
      </c>
      <c r="P16" s="28" t="inlineStr"/>
      <c r="Q16" s="11" t="inlineStr"/>
      <c r="R16" s="47">
        <f>IF(P16&lt;&gt;"",P16-D16,TODAY()-D16)</f>
        <v/>
      </c>
      <c r="S16" s="14" t="inlineStr"/>
    </row>
    <row r="17">
      <c r="A17" s="5" t="inlineStr">
        <is>
          <t>E-018</t>
        </is>
      </c>
      <c r="B17" s="6" t="inlineStr">
        <is>
          <t>Sanjay Patel</t>
        </is>
      </c>
      <c r="C17" s="6" t="inlineStr">
        <is>
          <t>Pre-Surge</t>
        </is>
      </c>
      <c r="D17" s="27" t="n">
        <v>46091</v>
      </c>
      <c r="E17" s="27" t="n">
        <v>46121</v>
      </c>
      <c r="F17" s="124" t="inlineStr">
        <is>
          <t>Complete</t>
        </is>
      </c>
      <c r="G17" s="6" t="n">
        <v>4.3</v>
      </c>
      <c r="H17" s="27" t="n">
        <v>46151</v>
      </c>
      <c r="I17" s="124" t="inlineStr">
        <is>
          <t>Complete</t>
        </is>
      </c>
      <c r="J17" s="6" t="n">
        <v>4.4</v>
      </c>
      <c r="K17" s="27" t="n">
        <v>46181</v>
      </c>
      <c r="L17" s="127" t="inlineStr">
        <is>
          <t>Pending</t>
        </is>
      </c>
      <c r="M17" s="6" t="inlineStr"/>
      <c r="N17" s="6" t="n">
        <v>4.5</v>
      </c>
      <c r="O17" s="124" t="inlineStr">
        <is>
          <t>Low</t>
        </is>
      </c>
      <c r="P17" s="27" t="inlineStr"/>
      <c r="Q17" s="6" t="inlineStr"/>
      <c r="R17" s="46">
        <f>IF(P17&lt;&gt;"",P17-D17,TODAY()-D17)</f>
        <v/>
      </c>
      <c r="S17" s="9" t="inlineStr"/>
    </row>
    <row r="18">
      <c r="A18" s="10" t="inlineStr">
        <is>
          <t>E-019</t>
        </is>
      </c>
      <c r="B18" s="11" t="inlineStr">
        <is>
          <t>Alex Martinez</t>
        </is>
      </c>
      <c r="C18" s="11" t="inlineStr">
        <is>
          <t>Cohort 1</t>
        </is>
      </c>
      <c r="D18" s="28" t="n">
        <v>46115</v>
      </c>
      <c r="E18" s="28" t="n">
        <v>46145</v>
      </c>
      <c r="F18" s="124" t="inlineStr">
        <is>
          <t>Complete</t>
        </is>
      </c>
      <c r="G18" s="11" t="n">
        <v>2.5</v>
      </c>
      <c r="H18" s="28" t="n"/>
      <c r="I18" s="11" t="inlineStr"/>
      <c r="J18" s="11" t="inlineStr"/>
      <c r="K18" s="28" t="n"/>
      <c r="L18" s="11" t="inlineStr"/>
      <c r="M18" s="11" t="inlineStr"/>
      <c r="N18" s="11" t="n">
        <v>2</v>
      </c>
      <c r="O18" s="126" t="inlineStr">
        <is>
          <t>High</t>
        </is>
      </c>
      <c r="P18" s="28" t="n">
        <v>46130</v>
      </c>
      <c r="Q18" s="11" t="inlineStr">
        <is>
          <t>Voluntary - personal reasons</t>
        </is>
      </c>
      <c r="R18" s="47">
        <f>IF(P18&lt;&gt;"",P18-D18,TODAY()-D18)</f>
        <v/>
      </c>
      <c r="S18" s="14" t="inlineStr">
        <is>
          <t>Left during nesting phase</t>
        </is>
      </c>
    </row>
    <row r="19">
      <c r="A19" s="5" t="inlineStr">
        <is>
          <t>E-020</t>
        </is>
      </c>
      <c r="B19" s="6" t="inlineStr">
        <is>
          <t>Dana Brooks</t>
        </is>
      </c>
      <c r="C19" s="6" t="inlineStr">
        <is>
          <t>Cohort 2</t>
        </is>
      </c>
      <c r="D19" s="27" t="n">
        <v>46122</v>
      </c>
      <c r="E19" s="27" t="n">
        <v>46152</v>
      </c>
      <c r="F19" s="127" t="inlineStr">
        <is>
          <t>Pending</t>
        </is>
      </c>
      <c r="G19" s="6" t="inlineStr"/>
      <c r="H19" s="27" t="n"/>
      <c r="I19" s="6" t="inlineStr"/>
      <c r="J19" s="6" t="inlineStr"/>
      <c r="K19" s="27" t="n"/>
      <c r="L19" s="6" t="inlineStr"/>
      <c r="M19" s="6" t="inlineStr"/>
      <c r="N19" s="6" t="n">
        <v>3.7</v>
      </c>
      <c r="O19" s="124" t="inlineStr">
        <is>
          <t>Low</t>
        </is>
      </c>
      <c r="P19" s="27" t="inlineStr"/>
      <c r="Q19" s="6" t="inlineStr"/>
      <c r="R19" s="46">
        <f>IF(P19&lt;&gt;"",P19-D19,TODAY()-D19)</f>
        <v/>
      </c>
      <c r="S19" s="9" t="inlineStr"/>
    </row>
    <row r="20">
      <c r="A20" s="10" t="inlineStr">
        <is>
          <t>E-008</t>
        </is>
      </c>
      <c r="B20" s="11" t="inlineStr">
        <is>
          <t>Michael Davis</t>
        </is>
      </c>
      <c r="C20" s="11" t="inlineStr">
        <is>
          <t>Cohort 2</t>
        </is>
      </c>
      <c r="D20" s="28" t="n">
        <v>46124</v>
      </c>
      <c r="E20" s="28" t="n">
        <v>46154</v>
      </c>
      <c r="F20" s="127" t="inlineStr">
        <is>
          <t>Pending</t>
        </is>
      </c>
      <c r="G20" s="11" t="inlineStr"/>
      <c r="H20" s="28" t="n"/>
      <c r="I20" s="11" t="inlineStr"/>
      <c r="J20" s="11" t="inlineStr"/>
      <c r="K20" s="28" t="n"/>
      <c r="L20" s="11" t="inlineStr"/>
      <c r="M20" s="11" t="inlineStr"/>
      <c r="N20" s="11" t="n">
        <v>3.4</v>
      </c>
      <c r="O20" s="127" t="inlineStr">
        <is>
          <t>Medium</t>
        </is>
      </c>
      <c r="P20" s="28" t="inlineStr"/>
      <c r="Q20" s="11" t="inlineStr"/>
      <c r="R20" s="47">
        <f>IF(P20&lt;&gt;"",P20-D20,TODAY()-D20)</f>
        <v/>
      </c>
      <c r="S20" s="14" t="inlineStr">
        <is>
          <t>Clearance uncertainty</t>
        </is>
      </c>
    </row>
    <row r="21">
      <c r="A21" s="5" t="inlineStr">
        <is>
          <t>E-009</t>
        </is>
      </c>
      <c r="B21" s="6" t="inlineStr">
        <is>
          <t>Kevin Lee</t>
        </is>
      </c>
      <c r="C21" s="6" t="inlineStr">
        <is>
          <t>Cohort 2</t>
        </is>
      </c>
      <c r="D21" s="27" t="n">
        <v>46127</v>
      </c>
      <c r="E21" s="27" t="n">
        <v>46157</v>
      </c>
      <c r="F21" s="127" t="inlineStr">
        <is>
          <t>Pending</t>
        </is>
      </c>
      <c r="G21" s="6" t="inlineStr"/>
      <c r="H21" s="27" t="n"/>
      <c r="I21" s="6" t="inlineStr"/>
      <c r="J21" s="6" t="inlineStr"/>
      <c r="K21" s="27" t="n"/>
      <c r="L21" s="6" t="inlineStr"/>
      <c r="M21" s="6" t="inlineStr"/>
      <c r="N21" s="6" t="n">
        <v>3.3</v>
      </c>
      <c r="O21" s="127" t="inlineStr">
        <is>
          <t>Medium</t>
        </is>
      </c>
      <c r="P21" s="27" t="inlineStr"/>
      <c r="Q21" s="6" t="inlineStr"/>
      <c r="R21" s="46">
        <f>IF(P21&lt;&gt;"",P21-D21,TODAY()-D21)</f>
        <v/>
      </c>
      <c r="S21" s="9" t="inlineStr">
        <is>
          <t>Equipment delays</t>
        </is>
      </c>
    </row>
    <row r="22">
      <c r="A22" s="22" t="inlineStr">
        <is>
          <t>E-010</t>
        </is>
      </c>
      <c r="B22" s="23" t="inlineStr">
        <is>
          <t>Amanda Taylor</t>
        </is>
      </c>
      <c r="C22" s="23" t="inlineStr">
        <is>
          <t>Cohort 2</t>
        </is>
      </c>
      <c r="D22" s="32" t="n">
        <v>46130</v>
      </c>
      <c r="E22" s="32" t="n">
        <v>46160</v>
      </c>
      <c r="F22" s="130" t="inlineStr">
        <is>
          <t>Pending</t>
        </is>
      </c>
      <c r="G22" s="23" t="inlineStr"/>
      <c r="H22" s="32" t="n"/>
      <c r="I22" s="23" t="inlineStr"/>
      <c r="J22" s="23" t="inlineStr"/>
      <c r="K22" s="32" t="n"/>
      <c r="L22" s="23" t="inlineStr"/>
      <c r="M22" s="23" t="inlineStr"/>
      <c r="N22" s="23" t="n">
        <v>3.5</v>
      </c>
      <c r="O22" s="129" t="inlineStr">
        <is>
          <t>Low</t>
        </is>
      </c>
      <c r="P22" s="32" t="inlineStr"/>
      <c r="Q22" s="23" t="inlineStr"/>
      <c r="R22" s="48">
        <f>IF(P22&lt;&gt;"",P22-D22,TODAY()-D22)</f>
        <v/>
      </c>
      <c r="S22" s="26" t="inlineStr"/>
    </row>
  </sheetData>
  <mergeCells count="1">
    <mergeCell ref="A1:S1"/>
  </mergeCells>
  <dataValidations count="4">
    <dataValidation sqref="F3:F22" showDropDown="0" showInputMessage="0" showErrorMessage="0" allowBlank="1" type="list">
      <formula1>"Complete,Pending,Overdue"</formula1>
    </dataValidation>
    <dataValidation sqref="I3:I22" showDropDown="0" showInputMessage="0" showErrorMessage="0" allowBlank="1" type="list">
      <formula1>"Complete,Pending,Overdue"</formula1>
    </dataValidation>
    <dataValidation sqref="L3:L22" showDropDown="0" showInputMessage="0" showErrorMessage="0" allowBlank="1" type="list">
      <formula1>"Complete,Pending,Overdue"</formula1>
    </dataValidation>
    <dataValidation sqref="O3:O2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0" customWidth="1" min="4" max="4"/>
    <col width="8" customWidth="1" min="5" max="5"/>
    <col width="10" customWidth="1" min="6" max="6"/>
    <col width="10" customWidth="1" min="7" max="7"/>
    <col width="14" customWidth="1" min="8" max="8"/>
    <col width="35" customWidth="1" min="9" max="9"/>
    <col width="35" customWidth="1" min="10" max="10"/>
    <col width="10" customWidth="1" min="11" max="11"/>
    <col width="13" customWidth="1" min="12" max="12"/>
    <col width="14" customWidth="1" min="13" max="13"/>
    <col width="10" customWidth="1" min="14" max="14"/>
    <col width="10" customWidth="1" min="15" max="15"/>
    <col width="18" customWidth="1" min="16" max="16"/>
  </cols>
  <sheetData>
    <row r="1" ht="30" customHeight="1">
      <c r="A1" s="1" t="inlineStr">
        <is>
          <t>RISK REGISTER</t>
        </is>
      </c>
    </row>
    <row r="2" ht="35" customHeight="1">
      <c r="A2" s="2" t="inlineStr">
        <is>
          <t>Risk ID</t>
        </is>
      </c>
      <c r="B2" s="3" t="inlineStr">
        <is>
          <t>Category</t>
        </is>
      </c>
      <c r="C2" s="3" t="inlineStr">
        <is>
          <t>Description</t>
        </is>
      </c>
      <c r="D2" s="3" t="inlineStr">
        <is>
          <t>Likelihood</t>
        </is>
      </c>
      <c r="E2" s="3" t="inlineStr">
        <is>
          <t>Impact</t>
        </is>
      </c>
      <c r="F2" s="3" t="inlineStr">
        <is>
          <t>Risk Score</t>
        </is>
      </c>
      <c r="G2" s="3" t="inlineStr">
        <is>
          <t>Risk Level</t>
        </is>
      </c>
      <c r="H2" s="3" t="inlineStr">
        <is>
          <t>Owner</t>
        </is>
      </c>
      <c r="I2" s="3" t="inlineStr">
        <is>
          <t>Mitigation Strategy</t>
        </is>
      </c>
      <c r="J2" s="3" t="inlineStr">
        <is>
          <t>Contingency Plan</t>
        </is>
      </c>
      <c r="K2" s="3" t="inlineStr">
        <is>
          <t>Status</t>
        </is>
      </c>
      <c r="L2" s="3" t="inlineStr">
        <is>
          <t>Date Identified</t>
        </is>
      </c>
      <c r="M2" s="3" t="inlineStr">
        <is>
          <t>Target Resolution</t>
        </is>
      </c>
      <c r="N2" s="3" t="inlineStr">
        <is>
          <t>Days Open</t>
        </is>
      </c>
      <c r="O2" s="3" t="inlineStr">
        <is>
          <t>Trend</t>
        </is>
      </c>
      <c r="P2" s="4" t="inlineStr">
        <is>
          <t>Notes</t>
        </is>
      </c>
    </row>
    <row r="3">
      <c r="A3" s="5" t="inlineStr">
        <is>
          <t>R-001</t>
        </is>
      </c>
      <c r="B3" s="6" t="inlineStr">
        <is>
          <t>Security</t>
        </is>
      </c>
      <c r="C3" s="7" t="inlineStr">
        <is>
          <t>Clearance processing delays exceeding 90 days for Secret-level positions</t>
        </is>
      </c>
      <c r="D3" s="40" t="n">
        <v>4</v>
      </c>
      <c r="E3" s="40" t="n">
        <v>5</v>
      </c>
      <c r="F3" s="40">
        <f>D3*E3</f>
        <v/>
      </c>
      <c r="G3" s="6">
        <f>IF(F3&gt;=20,"Critical",IF(F3&gt;=12,"High",IF(F3&gt;=6,"Medium","Low")))</f>
        <v/>
      </c>
      <c r="H3" s="6" t="inlineStr">
        <is>
          <t>FSO/Security</t>
        </is>
      </c>
      <c r="I3" s="7" t="inlineStr">
        <is>
          <t>Pre-submit eQIP packages; engage agency POC for status updates</t>
        </is>
      </c>
      <c r="J3" s="7" t="inlineStr">
        <is>
          <t>Request interim clearances for critical roles; reassign to non-cleared tasks</t>
        </is>
      </c>
      <c r="K3" s="126" t="inlineStr">
        <is>
          <t>Open</t>
        </is>
      </c>
      <c r="L3" s="27" t="n">
        <v>46106</v>
      </c>
      <c r="M3" s="27" t="n">
        <v>46203</v>
      </c>
      <c r="N3" s="46">
        <f>IF(K3="Closed",0,TODAY()-L3)</f>
        <v/>
      </c>
      <c r="O3" s="126" t="inlineStr">
        <is>
          <t>Increasing</t>
        </is>
      </c>
      <c r="P3" s="9" t="inlineStr">
        <is>
          <t>Top risk</t>
        </is>
      </c>
    </row>
    <row r="4">
      <c r="A4" s="10" t="inlineStr">
        <is>
          <t>R-002</t>
        </is>
      </c>
      <c r="B4" s="11" t="inlineStr">
        <is>
          <t>Remote-Specific</t>
        </is>
      </c>
      <c r="C4" s="12" t="inlineStr">
        <is>
          <t>Remote workspace fails security requirements for CUI handling</t>
        </is>
      </c>
      <c r="D4" s="41" t="n">
        <v>3</v>
      </c>
      <c r="E4" s="41" t="n">
        <v>5</v>
      </c>
      <c r="F4" s="41">
        <f>D4*E4</f>
        <v/>
      </c>
      <c r="G4" s="11">
        <f>IF(F4&gt;=20,"Critical",IF(F4&gt;=12,"High",IF(F4&gt;=6,"Medium","Low")))</f>
        <v/>
      </c>
      <c r="H4" s="11" t="inlineStr">
        <is>
          <t>FSO/Security</t>
        </is>
      </c>
      <c r="I4" s="12" t="inlineStr">
        <is>
          <t>Mandate workspace attestation before equipment shipment; conduct video verification</t>
        </is>
      </c>
      <c r="J4" s="12" t="inlineStr">
        <is>
          <t>Provide co-working space stipend at approved SCIFs</t>
        </is>
      </c>
      <c r="K4" s="126" t="inlineStr">
        <is>
          <t>Open</t>
        </is>
      </c>
      <c r="L4" s="28" t="n">
        <v>46106</v>
      </c>
      <c r="M4" s="28" t="n">
        <v>46157</v>
      </c>
      <c r="N4" s="47">
        <f>IF(K4="Closed",0,TODAY()-L4)</f>
        <v/>
      </c>
      <c r="O4" s="127" t="inlineStr">
        <is>
          <t>Stable</t>
        </is>
      </c>
      <c r="P4" s="14" t="inlineStr"/>
    </row>
    <row r="5">
      <c r="A5" s="5" t="inlineStr">
        <is>
          <t>R-003</t>
        </is>
      </c>
      <c r="B5" s="6" t="inlineStr">
        <is>
          <t>Technical</t>
        </is>
      </c>
      <c r="C5" s="7" t="inlineStr">
        <is>
          <t>VPN capacity insufficient for simultaneous remote connections</t>
        </is>
      </c>
      <c r="D5" s="40" t="n">
        <v>3</v>
      </c>
      <c r="E5" s="40" t="n">
        <v>4</v>
      </c>
      <c r="F5" s="40">
        <f>D5*E5</f>
        <v/>
      </c>
      <c r="G5" s="6">
        <f>IF(F5&gt;=20,"Critical",IF(F5&gt;=12,"High",IF(F5&gt;=6,"Medium","Low")))</f>
        <v/>
      </c>
      <c r="H5" s="6" t="inlineStr">
        <is>
          <t>IT Lead</t>
        </is>
      </c>
      <c r="I5" s="7" t="inlineStr">
        <is>
          <t>Load test VPN before surge; procure additional licenses</t>
        </is>
      </c>
      <c r="J5" s="7" t="inlineStr">
        <is>
          <t>Deploy backup VPN gateway; stagger shift schedules</t>
        </is>
      </c>
      <c r="K5" s="126" t="inlineStr">
        <is>
          <t>Open</t>
        </is>
      </c>
      <c r="L5" s="27" t="n">
        <v>46107</v>
      </c>
      <c r="M5" s="27" t="n">
        <v>46143</v>
      </c>
      <c r="N5" s="46">
        <f>IF(K5="Closed",0,TODAY()-L5)</f>
        <v/>
      </c>
      <c r="O5" s="124" t="inlineStr">
        <is>
          <t>Decreasing</t>
        </is>
      </c>
      <c r="P5" s="9" t="inlineStr">
        <is>
          <t>Capacity expanded</t>
        </is>
      </c>
    </row>
    <row r="6">
      <c r="A6" s="10" t="inlineStr">
        <is>
          <t>R-004</t>
        </is>
      </c>
      <c r="B6" s="11" t="inlineStr">
        <is>
          <t>Operational</t>
        </is>
      </c>
      <c r="C6" s="12" t="inlineStr">
        <is>
          <t>Equipment shipping delays due to supply chain disruptions</t>
        </is>
      </c>
      <c r="D6" s="41" t="n">
        <v>4</v>
      </c>
      <c r="E6" s="41" t="n">
        <v>4</v>
      </c>
      <c r="F6" s="41">
        <f>D6*E6</f>
        <v/>
      </c>
      <c r="G6" s="11">
        <f>IF(F6&gt;=20,"Critical",IF(F6&gt;=12,"High",IF(F6&gt;=6,"Medium","Low")))</f>
        <v/>
      </c>
      <c r="H6" s="11" t="inlineStr">
        <is>
          <t>IT Lead</t>
        </is>
      </c>
      <c r="I6" s="12" t="inlineStr">
        <is>
          <t>Order 20% buffer stock; use multiple vendors; expedited shipping</t>
        </is>
      </c>
      <c r="J6" s="12" t="inlineStr">
        <is>
          <t>Loan personal devices with MDM enrollment temporarily</t>
        </is>
      </c>
      <c r="K6" s="126" t="inlineStr">
        <is>
          <t>Open</t>
        </is>
      </c>
      <c r="L6" s="28" t="n">
        <v>46107</v>
      </c>
      <c r="M6" s="28" t="n">
        <v>46157</v>
      </c>
      <c r="N6" s="47">
        <f>IF(K6="Closed",0,TODAY()-L6)</f>
        <v/>
      </c>
      <c r="O6" s="126" t="inlineStr">
        <is>
          <t>Increasing</t>
        </is>
      </c>
      <c r="P6" s="14" t="inlineStr"/>
    </row>
    <row r="7">
      <c r="A7" s="5" t="inlineStr">
        <is>
          <t>R-005</t>
        </is>
      </c>
      <c r="B7" s="6" t="inlineStr">
        <is>
          <t>Compliance</t>
        </is>
      </c>
      <c r="C7" s="7" t="inlineStr">
        <is>
          <t>Multi-state tax withholding and labor law compliance gaps</t>
        </is>
      </c>
      <c r="D7" s="40" t="n">
        <v>3</v>
      </c>
      <c r="E7" s="40" t="n">
        <v>4</v>
      </c>
      <c r="F7" s="40">
        <f>D7*E7</f>
        <v/>
      </c>
      <c r="G7" s="6">
        <f>IF(F7&gt;=20,"Critical",IF(F7&gt;=12,"High",IF(F7&gt;=6,"Medium","Low")))</f>
        <v/>
      </c>
      <c r="H7" s="6" t="inlineStr">
        <is>
          <t>HR Manager</t>
        </is>
      </c>
      <c r="I7" s="7" t="inlineStr">
        <is>
          <t>Engage multi-state payroll provider; map employee locations to state requirements</t>
        </is>
      </c>
      <c r="J7" s="7" t="inlineStr">
        <is>
          <t>Contract with employment law firm for state-specific guidance</t>
        </is>
      </c>
      <c r="K7" s="126" t="inlineStr">
        <is>
          <t>Open</t>
        </is>
      </c>
      <c r="L7" s="27" t="n">
        <v>46108</v>
      </c>
      <c r="M7" s="27" t="n">
        <v>46172</v>
      </c>
      <c r="N7" s="46">
        <f>IF(K7="Closed",0,TODAY()-L7)</f>
        <v/>
      </c>
      <c r="O7" s="127" t="inlineStr">
        <is>
          <t>Stable</t>
        </is>
      </c>
      <c r="P7" s="9" t="inlineStr"/>
    </row>
    <row r="8">
      <c r="A8" s="10" t="inlineStr">
        <is>
          <t>R-006</t>
        </is>
      </c>
      <c r="B8" s="11" t="inlineStr">
        <is>
          <t>Personnel</t>
        </is>
      </c>
      <c r="C8" s="12" t="inlineStr">
        <is>
          <t>Attrition spike during first 30 days exceeding 15% threshold</t>
        </is>
      </c>
      <c r="D8" s="41" t="n">
        <v>4</v>
      </c>
      <c r="E8" s="41" t="n">
        <v>4</v>
      </c>
      <c r="F8" s="41">
        <f>D8*E8</f>
        <v/>
      </c>
      <c r="G8" s="11">
        <f>IF(F8&gt;=20,"Critical",IF(F8&gt;=12,"High",IF(F8&gt;=6,"Medium","Low")))</f>
        <v/>
      </c>
      <c r="H8" s="11" t="inlineStr">
        <is>
          <t>HR Manager</t>
        </is>
      </c>
      <c r="I8" s="12" t="inlineStr">
        <is>
          <t>Implement structured onboarding; assign buddy mentors; conduct weekly check-ins</t>
        </is>
      </c>
      <c r="J8" s="12" t="inlineStr">
        <is>
          <t>Activate staffing agency rapid-fill agreements; maintain warm candidate bench</t>
        </is>
      </c>
      <c r="K8" s="126" t="inlineStr">
        <is>
          <t>Open</t>
        </is>
      </c>
      <c r="L8" s="28" t="n">
        <v>46108</v>
      </c>
      <c r="M8" s="28" t="n">
        <v>46157</v>
      </c>
      <c r="N8" s="47">
        <f>IF(K8="Closed",0,TODAY()-L8)</f>
        <v/>
      </c>
      <c r="O8" s="126" t="inlineStr">
        <is>
          <t>Increasing</t>
        </is>
      </c>
      <c r="P8" s="14" t="inlineStr">
        <is>
          <t>1 separation so far</t>
        </is>
      </c>
    </row>
    <row r="9">
      <c r="A9" s="5" t="inlineStr">
        <is>
          <t>R-007</t>
        </is>
      </c>
      <c r="B9" s="6" t="inlineStr">
        <is>
          <t>Operational</t>
        </is>
      </c>
      <c r="C9" s="7" t="inlineStr">
        <is>
          <t>Training bottleneck — insufficient trainer-to-trainee ratio</t>
        </is>
      </c>
      <c r="D9" s="40" t="n">
        <v>3</v>
      </c>
      <c r="E9" s="40" t="n">
        <v>3</v>
      </c>
      <c r="F9" s="40">
        <f>D9*E9</f>
        <v/>
      </c>
      <c r="G9" s="6">
        <f>IF(F9&gt;=20,"Critical",IF(F9&gt;=12,"High",IF(F9&gt;=6,"Medium","Low")))</f>
        <v/>
      </c>
      <c r="H9" s="6" t="inlineStr">
        <is>
          <t>Training Lead</t>
        </is>
      </c>
      <c r="I9" s="7" t="inlineStr">
        <is>
          <t>Hire additional trainers; develop self-paced e-learning modules</t>
        </is>
      </c>
      <c r="J9" s="7" t="inlineStr">
        <is>
          <t>Deploy recorded training sessions; extend training timeline by 1 week</t>
        </is>
      </c>
      <c r="K9" s="127" t="inlineStr">
        <is>
          <t>Mitigating</t>
        </is>
      </c>
      <c r="L9" s="27" t="n">
        <v>46109</v>
      </c>
      <c r="M9" s="27" t="n">
        <v>46143</v>
      </c>
      <c r="N9" s="46">
        <f>IF(K9="Closed",0,TODAY()-L9)</f>
        <v/>
      </c>
      <c r="O9" s="127" t="inlineStr">
        <is>
          <t>Stable</t>
        </is>
      </c>
      <c r="P9" s="9" t="inlineStr">
        <is>
          <t>Added e-learning</t>
        </is>
      </c>
    </row>
    <row r="10">
      <c r="A10" s="10" t="inlineStr">
        <is>
          <t>R-008</t>
        </is>
      </c>
      <c r="B10" s="11" t="inlineStr">
        <is>
          <t>Security</t>
        </is>
      </c>
      <c r="C10" s="12" t="inlineStr">
        <is>
          <t>Insider threat risk elevated with rapid onboarding of unknown personnel</t>
        </is>
      </c>
      <c r="D10" s="41" t="n">
        <v>3</v>
      </c>
      <c r="E10" s="41" t="n">
        <v>5</v>
      </c>
      <c r="F10" s="41">
        <f>D10*E10</f>
        <v/>
      </c>
      <c r="G10" s="11">
        <f>IF(F10&gt;=20,"Critical",IF(F10&gt;=12,"High",IF(F10&gt;=6,"Medium","Low")))</f>
        <v/>
      </c>
      <c r="H10" s="11" t="inlineStr">
        <is>
          <t>FSO/Security</t>
        </is>
      </c>
      <c r="I10" s="12" t="inlineStr">
        <is>
          <t>Implement enhanced monitoring; enforce least-privilege access; UAM tools</t>
        </is>
      </c>
      <c r="J10" s="12" t="inlineStr">
        <is>
          <t>Immediate access revocation protocol; incident response plan activation</t>
        </is>
      </c>
      <c r="K10" s="126" t="inlineStr">
        <is>
          <t>Open</t>
        </is>
      </c>
      <c r="L10" s="28" t="n">
        <v>46109</v>
      </c>
      <c r="M10" s="28" t="n">
        <v>46203</v>
      </c>
      <c r="N10" s="47">
        <f>IF(K10="Closed",0,TODAY()-L10)</f>
        <v/>
      </c>
      <c r="O10" s="127" t="inlineStr">
        <is>
          <t>Stable</t>
        </is>
      </c>
      <c r="P10" s="14" t="inlineStr"/>
    </row>
    <row r="11">
      <c r="A11" s="5" t="inlineStr">
        <is>
          <t>R-009</t>
        </is>
      </c>
      <c r="B11" s="6" t="inlineStr">
        <is>
          <t>Compliance</t>
        </is>
      </c>
      <c r="C11" s="7" t="inlineStr">
        <is>
          <t>Data spill — CUI transmitted via unapproved channels by new hires</t>
        </is>
      </c>
      <c r="D11" s="40" t="n">
        <v>3</v>
      </c>
      <c r="E11" s="40" t="n">
        <v>5</v>
      </c>
      <c r="F11" s="40">
        <f>D11*E11</f>
        <v/>
      </c>
      <c r="G11" s="6">
        <f>IF(F11&gt;=20,"Critical",IF(F11&gt;=12,"High",IF(F11&gt;=6,"Medium","Low")))</f>
        <v/>
      </c>
      <c r="H11" s="6" t="inlineStr">
        <is>
          <t>FSO/Security</t>
        </is>
      </c>
      <c r="I11" s="7" t="inlineStr">
        <is>
          <t>Mandatory CUI handling training before system access; DLP tools on endpoints</t>
        </is>
      </c>
      <c r="J11" s="7" t="inlineStr">
        <is>
          <t>Data spill response procedure; notify agency within 1 hour; contain and remediate</t>
        </is>
      </c>
      <c r="K11" s="126" t="inlineStr">
        <is>
          <t>Open</t>
        </is>
      </c>
      <c r="L11" s="27" t="n">
        <v>46110</v>
      </c>
      <c r="M11" s="27" t="n">
        <v>46203</v>
      </c>
      <c r="N11" s="46">
        <f>IF(K11="Closed",0,TODAY()-L11)</f>
        <v/>
      </c>
      <c r="O11" s="127" t="inlineStr">
        <is>
          <t>Stable</t>
        </is>
      </c>
      <c r="P11" s="9" t="inlineStr"/>
    </row>
    <row r="12">
      <c r="A12" s="10" t="inlineStr">
        <is>
          <t>R-010</t>
        </is>
      </c>
      <c r="B12" s="11" t="inlineStr">
        <is>
          <t>Security</t>
        </is>
      </c>
      <c r="C12" s="12" t="inlineStr">
        <is>
          <t>CUI handling violations in remote environments</t>
        </is>
      </c>
      <c r="D12" s="41" t="n">
        <v>3</v>
      </c>
      <c r="E12" s="41" t="n">
        <v>5</v>
      </c>
      <c r="F12" s="41">
        <f>D12*E12</f>
        <v/>
      </c>
      <c r="G12" s="11">
        <f>IF(F12&gt;=20,"Critical",IF(F12&gt;=12,"High",IF(F12&gt;=6,"Medium","Low")))</f>
        <v/>
      </c>
      <c r="H12" s="11" t="inlineStr">
        <is>
          <t>FSO/Security</t>
        </is>
      </c>
      <c r="I12" s="12" t="inlineStr">
        <is>
          <t>Enforce endpoint encryption; disable USB ports; monitor print queues</t>
        </is>
      </c>
      <c r="J12" s="12" t="inlineStr">
        <is>
          <t>Remote workspace spot-check audits; retrain and re-certify</t>
        </is>
      </c>
      <c r="K12" s="126" t="inlineStr">
        <is>
          <t>Open</t>
        </is>
      </c>
      <c r="L12" s="28" t="n">
        <v>46110</v>
      </c>
      <c r="M12" s="28" t="n">
        <v>46203</v>
      </c>
      <c r="N12" s="47">
        <f>IF(K12="Closed",0,TODAY()-L12)</f>
        <v/>
      </c>
      <c r="O12" s="127" t="inlineStr">
        <is>
          <t>Stable</t>
        </is>
      </c>
      <c r="P12" s="14" t="inlineStr"/>
    </row>
    <row r="13">
      <c r="A13" s="5" t="inlineStr">
        <is>
          <t>R-011</t>
        </is>
      </c>
      <c r="B13" s="6" t="inlineStr">
        <is>
          <t>Security</t>
        </is>
      </c>
      <c r="C13" s="7" t="inlineStr">
        <is>
          <t>Interim clearance denials blocking critical role deployment</t>
        </is>
      </c>
      <c r="D13" s="40" t="n">
        <v>3</v>
      </c>
      <c r="E13" s="40" t="n">
        <v>4</v>
      </c>
      <c r="F13" s="40">
        <f>D13*E13</f>
        <v/>
      </c>
      <c r="G13" s="6">
        <f>IF(F13&gt;=20,"Critical",IF(F13&gt;=12,"High",IF(F13&gt;=6,"Medium","Low")))</f>
        <v/>
      </c>
      <c r="H13" s="6" t="inlineStr">
        <is>
          <t>FSO/Security</t>
        </is>
      </c>
      <c r="I13" s="7" t="inlineStr">
        <is>
          <t>Pre-screen candidates for disqualifying factors; submit complete packages</t>
        </is>
      </c>
      <c r="J13" s="7" t="inlineStr">
        <is>
          <t>Reassign to non-sensitive roles; backfill with cleared personnel</t>
        </is>
      </c>
      <c r="K13" s="126" t="inlineStr">
        <is>
          <t>Open</t>
        </is>
      </c>
      <c r="L13" s="27" t="n">
        <v>46111</v>
      </c>
      <c r="M13" s="27" t="n">
        <v>46172</v>
      </c>
      <c r="N13" s="46">
        <f>IF(K13="Closed",0,TODAY()-L13)</f>
        <v/>
      </c>
      <c r="O13" s="127" t="inlineStr">
        <is>
          <t>Stable</t>
        </is>
      </c>
      <c r="P13" s="9" t="inlineStr"/>
    </row>
    <row r="14">
      <c r="A14" s="10" t="inlineStr">
        <is>
          <t>R-012</t>
        </is>
      </c>
      <c r="B14" s="11" t="inlineStr">
        <is>
          <t>Security</t>
        </is>
      </c>
      <c r="C14" s="12" t="inlineStr">
        <is>
          <t>Polygraph backlog delaying TS-SCI positions</t>
        </is>
      </c>
      <c r="D14" s="41" t="n">
        <v>4</v>
      </c>
      <c r="E14" s="41" t="n">
        <v>3</v>
      </c>
      <c r="F14" s="41">
        <f>D14*E14</f>
        <v/>
      </c>
      <c r="G14" s="11">
        <f>IF(F14&gt;=20,"Critical",IF(F14&gt;=12,"High",IF(F14&gt;=6,"Medium","Low")))</f>
        <v/>
      </c>
      <c r="H14" s="11" t="inlineStr">
        <is>
          <t>FSO/Security</t>
        </is>
      </c>
      <c r="I14" s="12" t="inlineStr">
        <is>
          <t>Schedule polygraphs immediately upon offer acceptance; coordinate with agency</t>
        </is>
      </c>
      <c r="J14" s="12" t="inlineStr">
        <is>
          <t>Deploy to non-poly positions; request agency prioritization</t>
        </is>
      </c>
      <c r="K14" s="126" t="inlineStr">
        <is>
          <t>Open</t>
        </is>
      </c>
      <c r="L14" s="28" t="n">
        <v>46111</v>
      </c>
      <c r="M14" s="28" t="n">
        <v>46234</v>
      </c>
      <c r="N14" s="47">
        <f>IF(K14="Closed",0,TODAY()-L14)</f>
        <v/>
      </c>
      <c r="O14" s="126" t="inlineStr">
        <is>
          <t>Increasing</t>
        </is>
      </c>
      <c r="P14" s="14" t="inlineStr"/>
    </row>
    <row r="15">
      <c r="A15" s="5" t="inlineStr">
        <is>
          <t>R-013</t>
        </is>
      </c>
      <c r="B15" s="6" t="inlineStr">
        <is>
          <t>Compliance</t>
        </is>
      </c>
      <c r="C15" s="7" t="inlineStr">
        <is>
          <t>Foreign contact or foreign travel disclosures creating investigation delays</t>
        </is>
      </c>
      <c r="D15" s="40" t="n">
        <v>2</v>
      </c>
      <c r="E15" s="40" t="n">
        <v>4</v>
      </c>
      <c r="F15" s="40">
        <f>D15*E15</f>
        <v/>
      </c>
      <c r="G15" s="6">
        <f>IF(F15&gt;=20,"Critical",IF(F15&gt;=12,"High",IF(F15&gt;=6,"Medium","Low")))</f>
        <v/>
      </c>
      <c r="H15" s="6" t="inlineStr">
        <is>
          <t>FSO/Security</t>
        </is>
      </c>
      <c r="I15" s="7" t="inlineStr">
        <is>
          <t>Pre-screen for foreign contacts during interview; prepare supplemental docs</t>
        </is>
      </c>
      <c r="J15" s="7" t="inlineStr">
        <is>
          <t>Assign to domestic-only, non-sensitive roles pending resolution</t>
        </is>
      </c>
      <c r="K15" s="144" t="inlineStr">
        <is>
          <t>Accepted</t>
        </is>
      </c>
      <c r="L15" s="27" t="n">
        <v>46112</v>
      </c>
      <c r="M15" s="27" t="n">
        <v>46203</v>
      </c>
      <c r="N15" s="46">
        <f>IF(K15="Closed",0,TODAY()-L15)</f>
        <v/>
      </c>
      <c r="O15" s="127" t="inlineStr">
        <is>
          <t>Stable</t>
        </is>
      </c>
      <c r="P15" s="9" t="inlineStr"/>
    </row>
    <row r="16">
      <c r="A16" s="10" t="inlineStr">
        <is>
          <t>R-014</t>
        </is>
      </c>
      <c r="B16" s="11" t="inlineStr">
        <is>
          <t>Operational</t>
        </is>
      </c>
      <c r="C16" s="12" t="inlineStr">
        <is>
          <t>Drug testing logistics — remote employees in areas without testing centers</t>
        </is>
      </c>
      <c r="D16" s="41" t="n">
        <v>3</v>
      </c>
      <c r="E16" s="41" t="n">
        <v>3</v>
      </c>
      <c r="F16" s="41">
        <f>D16*E16</f>
        <v/>
      </c>
      <c r="G16" s="11">
        <f>IF(F16&gt;=20,"Critical",IF(F16&gt;=12,"High",IF(F16&gt;=6,"Medium","Low")))</f>
        <v/>
      </c>
      <c r="H16" s="11" t="inlineStr">
        <is>
          <t>HR Manager</t>
        </is>
      </c>
      <c r="I16" s="12" t="inlineStr">
        <is>
          <t>Map testing locations near each employee; mobile testing services</t>
        </is>
      </c>
      <c r="J16" s="12" t="inlineStr">
        <is>
          <t>Delay start dates until testing confirmed; virtual observed testing</t>
        </is>
      </c>
      <c r="K16" s="127" t="inlineStr">
        <is>
          <t>Mitigating</t>
        </is>
      </c>
      <c r="L16" s="28" t="n">
        <v>46112</v>
      </c>
      <c r="M16" s="28" t="n">
        <v>46157</v>
      </c>
      <c r="N16" s="47">
        <f>IF(K16="Closed",0,TODAY()-L16)</f>
        <v/>
      </c>
      <c r="O16" s="124" t="inlineStr">
        <is>
          <t>Decreasing</t>
        </is>
      </c>
      <c r="P16" s="14" t="inlineStr">
        <is>
          <t>Mobile testing arranged</t>
        </is>
      </c>
    </row>
    <row r="17">
      <c r="A17" s="5" t="inlineStr">
        <is>
          <t>R-015</t>
        </is>
      </c>
      <c r="B17" s="6" t="inlineStr">
        <is>
          <t>Technical</t>
        </is>
      </c>
      <c r="C17" s="7" t="inlineStr">
        <is>
          <t>Badge/PIV provisioning delays for system access</t>
        </is>
      </c>
      <c r="D17" s="40" t="n">
        <v>3</v>
      </c>
      <c r="E17" s="40" t="n">
        <v>4</v>
      </c>
      <c r="F17" s="40">
        <f>D17*E17</f>
        <v/>
      </c>
      <c r="G17" s="6">
        <f>IF(F17&gt;=20,"Critical",IF(F17&gt;=12,"High",IF(F17&gt;=6,"Medium","Low")))</f>
        <v/>
      </c>
      <c r="H17" s="6" t="inlineStr">
        <is>
          <t>IT Lead</t>
        </is>
      </c>
      <c r="I17" s="7" t="inlineStr">
        <is>
          <t>Pre-order blank PIV cards; coordinate with HSPD-12 enrollment stations</t>
        </is>
      </c>
      <c r="J17" s="7" t="inlineStr">
        <is>
          <t>Issue temporary credentials with limited access; extend enrollment hours</t>
        </is>
      </c>
      <c r="K17" s="126" t="inlineStr">
        <is>
          <t>Open</t>
        </is>
      </c>
      <c r="L17" s="27" t="n">
        <v>46113</v>
      </c>
      <c r="M17" s="27" t="n">
        <v>46172</v>
      </c>
      <c r="N17" s="46">
        <f>IF(K17="Closed",0,TODAY()-L17)</f>
        <v/>
      </c>
      <c r="O17" s="127" t="inlineStr">
        <is>
          <t>Stable</t>
        </is>
      </c>
      <c r="P17" s="9" t="inlineStr"/>
    </row>
    <row r="18">
      <c r="A18" s="10" t="inlineStr">
        <is>
          <t>R-016</t>
        </is>
      </c>
      <c r="B18" s="11" t="inlineStr">
        <is>
          <t>Compliance</t>
        </is>
      </c>
      <c r="C18" s="12" t="inlineStr">
        <is>
          <t>Social media screening revealing derogatory information post-hire</t>
        </is>
      </c>
      <c r="D18" s="41" t="n">
        <v>2</v>
      </c>
      <c r="E18" s="41" t="n">
        <v>3</v>
      </c>
      <c r="F18" s="41">
        <f>D18*E18</f>
        <v/>
      </c>
      <c r="G18" s="11">
        <f>IF(F18&gt;=20,"Critical",IF(F18&gt;=12,"High",IF(F18&gt;=6,"Medium","Low")))</f>
        <v/>
      </c>
      <c r="H18" s="11" t="inlineStr">
        <is>
          <t>FSO/Security</t>
        </is>
      </c>
      <c r="I18" s="12" t="inlineStr">
        <is>
          <t>Conduct social media screening during pre-employment; document findings</t>
        </is>
      </c>
      <c r="J18" s="12" t="inlineStr">
        <is>
          <t>Suitability review board determination; separation if warranted</t>
        </is>
      </c>
      <c r="K18" s="144" t="inlineStr">
        <is>
          <t>Accepted</t>
        </is>
      </c>
      <c r="L18" s="28" t="n">
        <v>46113</v>
      </c>
      <c r="M18" s="28" t="n">
        <v>46203</v>
      </c>
      <c r="N18" s="47">
        <f>IF(K18="Closed",0,TODAY()-L18)</f>
        <v/>
      </c>
      <c r="O18" s="127" t="inlineStr">
        <is>
          <t>Stable</t>
        </is>
      </c>
      <c r="P18" s="14" t="inlineStr"/>
    </row>
    <row r="19">
      <c r="A19" s="5" t="inlineStr">
        <is>
          <t>R-017</t>
        </is>
      </c>
      <c r="B19" s="6" t="inlineStr">
        <is>
          <t>Security</t>
        </is>
      </c>
      <c r="C19" s="7" t="inlineStr">
        <is>
          <t>Reciprocity delays — prior clearances not transferring between agencies</t>
        </is>
      </c>
      <c r="D19" s="40" t="n">
        <v>3</v>
      </c>
      <c r="E19" s="40" t="n">
        <v>4</v>
      </c>
      <c r="F19" s="40">
        <f>D19*E19</f>
        <v/>
      </c>
      <c r="G19" s="6">
        <f>IF(F19&gt;=20,"Critical",IF(F19&gt;=12,"High",IF(F19&gt;=6,"Medium","Low")))</f>
        <v/>
      </c>
      <c r="H19" s="6" t="inlineStr">
        <is>
          <t>FSO/Security</t>
        </is>
      </c>
      <c r="I19" s="7" t="inlineStr">
        <is>
          <t>Verify DISS/Scattered Castles records early; submit reciprocity requests immediately</t>
        </is>
      </c>
      <c r="J19" s="7" t="inlineStr">
        <is>
          <t>Request interim clearance; engage agency security office directly</t>
        </is>
      </c>
      <c r="K19" s="126" t="inlineStr">
        <is>
          <t>Open</t>
        </is>
      </c>
      <c r="L19" s="27" t="n">
        <v>46114</v>
      </c>
      <c r="M19" s="27" t="n">
        <v>46203</v>
      </c>
      <c r="N19" s="46">
        <f>IF(K19="Closed",0,TODAY()-L19)</f>
        <v/>
      </c>
      <c r="O19" s="127" t="inlineStr">
        <is>
          <t>Stable</t>
        </is>
      </c>
      <c r="P19" s="9" t="inlineStr"/>
    </row>
    <row r="20">
      <c r="A20" s="10" t="inlineStr">
        <is>
          <t>R-018</t>
        </is>
      </c>
      <c r="B20" s="11" t="inlineStr">
        <is>
          <t>Operational</t>
        </is>
      </c>
      <c r="C20" s="12" t="inlineStr">
        <is>
          <t>Lost or stolen equipment in transit or at remote locations</t>
        </is>
      </c>
      <c r="D20" s="41" t="n">
        <v>2</v>
      </c>
      <c r="E20" s="41" t="n">
        <v>4</v>
      </c>
      <c r="F20" s="41">
        <f>D20*E20</f>
        <v/>
      </c>
      <c r="G20" s="11">
        <f>IF(F20&gt;=20,"Critical",IF(F20&gt;=12,"High",IF(F20&gt;=6,"Medium","Low")))</f>
        <v/>
      </c>
      <c r="H20" s="11" t="inlineStr">
        <is>
          <t>IT Lead</t>
        </is>
      </c>
      <c r="I20" s="12" t="inlineStr">
        <is>
          <t>Full disk encryption; asset tracking with GPS; signature-required delivery</t>
        </is>
      </c>
      <c r="J20" s="12" t="inlineStr">
        <is>
          <t>Remote wipe capability; file police report; replace within 48 hours</t>
        </is>
      </c>
      <c r="K20" s="126" t="inlineStr">
        <is>
          <t>Open</t>
        </is>
      </c>
      <c r="L20" s="28" t="n">
        <v>46114</v>
      </c>
      <c r="M20" s="28" t="n">
        <v>46203</v>
      </c>
      <c r="N20" s="47">
        <f>IF(K20="Closed",0,TODAY()-L20)</f>
        <v/>
      </c>
      <c r="O20" s="127" t="inlineStr">
        <is>
          <t>Stable</t>
        </is>
      </c>
      <c r="P20" s="14" t="inlineStr"/>
    </row>
    <row r="21">
      <c r="A21" s="5" t="inlineStr">
        <is>
          <t>R-019</t>
        </is>
      </c>
      <c r="B21" s="6" t="inlineStr">
        <is>
          <t>Remote-Specific</t>
        </is>
      </c>
      <c r="C21" s="7" t="inlineStr">
        <is>
          <t>Unauthorized telework locations — employees working from unapproved sites</t>
        </is>
      </c>
      <c r="D21" s="40" t="n">
        <v>3</v>
      </c>
      <c r="E21" s="40" t="n">
        <v>4</v>
      </c>
      <c r="F21" s="40">
        <f>D21*E21</f>
        <v/>
      </c>
      <c r="G21" s="6">
        <f>IF(F21&gt;=20,"Critical",IF(F21&gt;=12,"High",IF(F21&gt;=6,"Medium","Low")))</f>
        <v/>
      </c>
      <c r="H21" s="6" t="inlineStr">
        <is>
          <t>HR Manager</t>
        </is>
      </c>
      <c r="I21" s="7" t="inlineStr">
        <is>
          <t>Require telework location approval; GPS check-in; random workspace audits</t>
        </is>
      </c>
      <c r="J21" s="7" t="inlineStr">
        <is>
          <t>Immediate VPN access suspension; formal counseling; potential separation</t>
        </is>
      </c>
      <c r="K21" s="126" t="inlineStr">
        <is>
          <t>Open</t>
        </is>
      </c>
      <c r="L21" s="27" t="n">
        <v>46115</v>
      </c>
      <c r="M21" s="27" t="n">
        <v>46172</v>
      </c>
      <c r="N21" s="46">
        <f>IF(K21="Closed",0,TODAY()-L21)</f>
        <v/>
      </c>
      <c r="O21" s="127" t="inlineStr">
        <is>
          <t>Stable</t>
        </is>
      </c>
      <c r="P21" s="9" t="inlineStr"/>
    </row>
    <row r="22">
      <c r="A22" s="22" t="inlineStr">
        <is>
          <t>R-020</t>
        </is>
      </c>
      <c r="B22" s="23" t="inlineStr">
        <is>
          <t>Personnel</t>
        </is>
      </c>
      <c r="C22" s="49" t="inlineStr">
        <is>
          <t>Quality degradation as new hires ramp up without adequate coaching</t>
        </is>
      </c>
      <c r="D22" s="50" t="n">
        <v>4</v>
      </c>
      <c r="E22" s="50" t="n">
        <v>4</v>
      </c>
      <c r="F22" s="50">
        <f>D22*E22</f>
        <v/>
      </c>
      <c r="G22" s="23">
        <f>IF(F22&gt;=20,"Critical",IF(F22&gt;=12,"High",IF(F22&gt;=6,"Medium","Low")))</f>
        <v/>
      </c>
      <c r="H22" s="23" t="inlineStr">
        <is>
          <t>QA Lead</t>
        </is>
      </c>
      <c r="I22" s="49" t="inlineStr">
        <is>
          <t>Implement 100% monitoring during nesting; daily coaching sessions; buddy system</t>
        </is>
      </c>
      <c r="J22" s="49" t="inlineStr">
        <is>
          <t>Extend nesting period; remove from production; intensive remediation training</t>
        </is>
      </c>
      <c r="K22" s="145" t="inlineStr">
        <is>
          <t>Open</t>
        </is>
      </c>
      <c r="L22" s="32" t="n">
        <v>46115</v>
      </c>
      <c r="M22" s="32" t="n">
        <v>46157</v>
      </c>
      <c r="N22" s="48">
        <f>IF(K22="Closed",0,TODAY()-L22)</f>
        <v/>
      </c>
      <c r="O22" s="145" t="inlineStr">
        <is>
          <t>Increasing</t>
        </is>
      </c>
      <c r="P22" s="26" t="inlineStr">
        <is>
          <t>Monitoring active</t>
        </is>
      </c>
    </row>
  </sheetData>
  <mergeCells count="1">
    <mergeCell ref="A1:P1"/>
  </mergeCells>
  <dataValidations count="5">
    <dataValidation sqref="B3:B22" showDropDown="0" showInputMessage="0" showErrorMessage="0" allowBlank="1" type="list">
      <formula1>"Security,Operational,Compliance,Technical,Personnel,Remote-Specific"</formula1>
    </dataValidation>
    <dataValidation sqref="D3:D22" showDropDown="0" showInputMessage="0" showErrorMessage="1" allowBlank="1" error="1-5 scale" type="whole" operator="between">
      <formula1>1</formula1>
      <formula2>5</formula2>
    </dataValidation>
    <dataValidation sqref="E3:E22" showDropDown="0" showInputMessage="0" showErrorMessage="1" allowBlank="1" error="1-5 scale" type="whole" operator="between">
      <formula1>1</formula1>
      <formula2>5</formula2>
    </dataValidation>
    <dataValidation sqref="K3:K22" showDropDown="0" showInputMessage="0" showErrorMessage="0" allowBlank="1" type="list">
      <formula1>"Open,Mitigating,Closed,Accepted"</formula1>
    </dataValidation>
    <dataValidation sqref="O3:O22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2" customWidth="1" min="5" max="5"/>
    <col width="13" customWidth="1" min="6" max="6"/>
    <col width="10" customWidth="1" min="7" max="7"/>
    <col width="13" customWidth="1" min="8" max="8"/>
    <col width="10" customWidth="1" min="9" max="9"/>
    <col width="12" customWidth="1" min="10" max="10"/>
    <col width="11" customWidth="1" min="11" max="11"/>
    <col width="10" customWidth="1" min="12" max="12"/>
  </cols>
  <sheetData>
    <row r="1" ht="30" customHeight="1">
      <c r="A1" s="1" t="inlineStr">
        <is>
          <t>RACI MATRIX — Surge Operations</t>
        </is>
      </c>
    </row>
    <row r="2" ht="40" customHeight="1">
      <c r="A2" s="2" t="inlineStr">
        <is>
          <t>Task #</t>
        </is>
      </c>
      <c r="B2" s="3" t="inlineStr">
        <is>
          <t>Task Description</t>
        </is>
      </c>
      <c r="C2" s="3" t="inlineStr">
        <is>
          <t>Program Manager</t>
        </is>
      </c>
      <c r="D2" s="3" t="inlineStr">
        <is>
          <t>Recruiting Lead</t>
        </is>
      </c>
      <c r="E2" s="3" t="inlineStr">
        <is>
          <t>HR Manager</t>
        </is>
      </c>
      <c r="F2" s="3" t="inlineStr">
        <is>
          <t>FSO/Security</t>
        </is>
      </c>
      <c r="G2" s="3" t="inlineStr">
        <is>
          <t>IT Lead</t>
        </is>
      </c>
      <c r="H2" s="3" t="inlineStr">
        <is>
          <t>Training Lead</t>
        </is>
      </c>
      <c r="I2" s="3" t="inlineStr">
        <is>
          <t>QA Lead</t>
        </is>
      </c>
      <c r="J2" s="3" t="inlineStr">
        <is>
          <t>Supervisors</t>
        </is>
      </c>
      <c r="K2" s="3" t="inlineStr">
        <is>
          <t>Contracts</t>
        </is>
      </c>
      <c r="L2" s="4" t="inlineStr">
        <is>
          <t>Finance</t>
        </is>
      </c>
    </row>
    <row r="3">
      <c r="A3" s="5" t="inlineStr">
        <is>
          <t>1</t>
        </is>
      </c>
      <c r="B3" s="7" t="inlineStr">
        <is>
          <t>Finalize surge headcount requirements</t>
        </is>
      </c>
      <c r="C3" s="146" t="inlineStr">
        <is>
          <t>R</t>
        </is>
      </c>
      <c r="D3" s="147" t="inlineStr">
        <is>
          <t>C</t>
        </is>
      </c>
      <c r="E3" s="147" t="inlineStr">
        <is>
          <t>C</t>
        </is>
      </c>
      <c r="F3" s="148" t="inlineStr">
        <is>
          <t>I</t>
        </is>
      </c>
      <c r="G3" s="148" t="inlineStr">
        <is>
          <t>I</t>
        </is>
      </c>
      <c r="H3" s="148" t="inlineStr">
        <is>
          <t>I</t>
        </is>
      </c>
      <c r="I3" s="148" t="inlineStr">
        <is>
          <t>I</t>
        </is>
      </c>
      <c r="J3" s="148" t="inlineStr">
        <is>
          <t>I</t>
        </is>
      </c>
      <c r="K3" s="149" t="inlineStr">
        <is>
          <t>A</t>
        </is>
      </c>
      <c r="L3" s="150" t="inlineStr">
        <is>
          <t>C</t>
        </is>
      </c>
    </row>
    <row r="4">
      <c r="A4" s="10" t="inlineStr">
        <is>
          <t>2</t>
        </is>
      </c>
      <c r="B4" s="12" t="inlineStr">
        <is>
          <t>Submit staffing plan to COR</t>
        </is>
      </c>
      <c r="C4" s="146" t="inlineStr">
        <is>
          <t>R</t>
        </is>
      </c>
      <c r="D4" s="148" t="inlineStr">
        <is>
          <t>I</t>
        </is>
      </c>
      <c r="E4" s="148" t="inlineStr">
        <is>
          <t>I</t>
        </is>
      </c>
      <c r="F4" s="148" t="inlineStr">
        <is>
          <t>I</t>
        </is>
      </c>
      <c r="G4" s="148" t="inlineStr">
        <is>
          <t>I</t>
        </is>
      </c>
      <c r="H4" s="148" t="inlineStr">
        <is>
          <t>I</t>
        </is>
      </c>
      <c r="I4" s="148" t="inlineStr">
        <is>
          <t>I</t>
        </is>
      </c>
      <c r="J4" s="148" t="inlineStr">
        <is>
          <t>I</t>
        </is>
      </c>
      <c r="K4" s="149" t="inlineStr">
        <is>
          <t>A</t>
        </is>
      </c>
      <c r="L4" s="151" t="inlineStr">
        <is>
          <t>I</t>
        </is>
      </c>
    </row>
    <row r="5">
      <c r="A5" s="5" t="inlineStr">
        <is>
          <t>3</t>
        </is>
      </c>
      <c r="B5" s="7" t="inlineStr">
        <is>
          <t>Define remote work policies</t>
        </is>
      </c>
      <c r="C5" s="149" t="inlineStr">
        <is>
          <t>A</t>
        </is>
      </c>
      <c r="D5" s="148" t="inlineStr">
        <is>
          <t>I</t>
        </is>
      </c>
      <c r="E5" s="146" t="inlineStr">
        <is>
          <t>R</t>
        </is>
      </c>
      <c r="F5" s="147" t="inlineStr">
        <is>
          <t>C</t>
        </is>
      </c>
      <c r="G5" s="147" t="inlineStr">
        <is>
          <t>C</t>
        </is>
      </c>
      <c r="H5" s="148" t="inlineStr">
        <is>
          <t>I</t>
        </is>
      </c>
      <c r="I5" s="148" t="inlineStr">
        <is>
          <t>I</t>
        </is>
      </c>
      <c r="J5" s="147" t="inlineStr">
        <is>
          <t>C</t>
        </is>
      </c>
      <c r="K5" s="148" t="inlineStr">
        <is>
          <t>I</t>
        </is>
      </c>
      <c r="L5" s="151" t="inlineStr">
        <is>
          <t>I</t>
        </is>
      </c>
    </row>
    <row r="6">
      <c r="A6" s="10" t="inlineStr">
        <is>
          <t>4</t>
        </is>
      </c>
      <c r="B6" s="12" t="inlineStr">
        <is>
          <t>Post surge positions on job boards</t>
        </is>
      </c>
      <c r="C6" s="149" t="inlineStr">
        <is>
          <t>A</t>
        </is>
      </c>
      <c r="D6" s="146" t="inlineStr">
        <is>
          <t>R</t>
        </is>
      </c>
      <c r="E6" s="147" t="inlineStr">
        <is>
          <t>C</t>
        </is>
      </c>
      <c r="F6" s="148" t="inlineStr">
        <is>
          <t>I</t>
        </is>
      </c>
      <c r="G6" s="148" t="inlineStr">
        <is>
          <t>I</t>
        </is>
      </c>
      <c r="H6" s="148" t="inlineStr">
        <is>
          <t>I</t>
        </is>
      </c>
      <c r="I6" s="148" t="inlineStr">
        <is>
          <t>I</t>
        </is>
      </c>
      <c r="J6" s="148" t="inlineStr">
        <is>
          <t>I</t>
        </is>
      </c>
      <c r="K6" s="148" t="inlineStr">
        <is>
          <t>I</t>
        </is>
      </c>
      <c r="L6" s="151" t="inlineStr">
        <is>
          <t>I</t>
        </is>
      </c>
    </row>
    <row r="7">
      <c r="A7" s="5" t="inlineStr">
        <is>
          <t>5</t>
        </is>
      </c>
      <c r="B7" s="7" t="inlineStr">
        <is>
          <t>Activate staffing agency contracts</t>
        </is>
      </c>
      <c r="C7" s="149" t="inlineStr">
        <is>
          <t>A</t>
        </is>
      </c>
      <c r="D7" s="146" t="inlineStr">
        <is>
          <t>R</t>
        </is>
      </c>
      <c r="E7" s="148" t="inlineStr">
        <is>
          <t>I</t>
        </is>
      </c>
      <c r="F7" s="148" t="inlineStr">
        <is>
          <t>I</t>
        </is>
      </c>
      <c r="G7" s="148" t="inlineStr">
        <is>
          <t>I</t>
        </is>
      </c>
      <c r="H7" s="148" t="inlineStr">
        <is>
          <t>I</t>
        </is>
      </c>
      <c r="I7" s="148" t="inlineStr">
        <is>
          <t>I</t>
        </is>
      </c>
      <c r="J7" s="148" t="inlineStr">
        <is>
          <t>I</t>
        </is>
      </c>
      <c r="K7" s="147" t="inlineStr">
        <is>
          <t>C</t>
        </is>
      </c>
      <c r="L7" s="152" t="inlineStr">
        <is>
          <t>R</t>
        </is>
      </c>
    </row>
    <row r="8">
      <c r="A8" s="10" t="inlineStr">
        <is>
          <t>6</t>
        </is>
      </c>
      <c r="B8" s="12" t="inlineStr">
        <is>
          <t>Submit SAAR forms for system access</t>
        </is>
      </c>
      <c r="C8" s="148" t="inlineStr">
        <is>
          <t>I</t>
        </is>
      </c>
      <c r="D8" s="148" t="inlineStr">
        <is>
          <t>I</t>
        </is>
      </c>
      <c r="E8" s="148" t="inlineStr">
        <is>
          <t>I</t>
        </is>
      </c>
      <c r="F8" s="146" t="inlineStr">
        <is>
          <t>R</t>
        </is>
      </c>
      <c r="G8" s="147" t="inlineStr">
        <is>
          <t>C</t>
        </is>
      </c>
      <c r="H8" s="148" t="inlineStr">
        <is>
          <t>I</t>
        </is>
      </c>
      <c r="I8" s="148" t="inlineStr">
        <is>
          <t>I</t>
        </is>
      </c>
      <c r="J8" s="148" t="inlineStr">
        <is>
          <t>I</t>
        </is>
      </c>
      <c r="K8" s="149" t="inlineStr">
        <is>
          <t>A</t>
        </is>
      </c>
      <c r="L8" s="151" t="inlineStr">
        <is>
          <t>I</t>
        </is>
      </c>
    </row>
    <row r="9">
      <c r="A9" s="5" t="inlineStr">
        <is>
          <t>7</t>
        </is>
      </c>
      <c r="B9" s="7" t="inlineStr">
        <is>
          <t>Order laptops and peripherals</t>
        </is>
      </c>
      <c r="C9" s="149" t="inlineStr">
        <is>
          <t>A</t>
        </is>
      </c>
      <c r="D9" s="148" t="inlineStr">
        <is>
          <t>I</t>
        </is>
      </c>
      <c r="E9" s="148" t="inlineStr">
        <is>
          <t>I</t>
        </is>
      </c>
      <c r="F9" s="148" t="inlineStr">
        <is>
          <t>I</t>
        </is>
      </c>
      <c r="G9" s="146" t="inlineStr">
        <is>
          <t>R</t>
        </is>
      </c>
      <c r="H9" s="148" t="inlineStr">
        <is>
          <t>I</t>
        </is>
      </c>
      <c r="I9" s="148" t="inlineStr">
        <is>
          <t>I</t>
        </is>
      </c>
      <c r="J9" s="148" t="inlineStr">
        <is>
          <t>I</t>
        </is>
      </c>
      <c r="K9" s="147" t="inlineStr">
        <is>
          <t>C</t>
        </is>
      </c>
      <c r="L9" s="150" t="inlineStr">
        <is>
          <t>C</t>
        </is>
      </c>
    </row>
    <row r="10">
      <c r="A10" s="10" t="inlineStr">
        <is>
          <t>8</t>
        </is>
      </c>
      <c r="B10" s="12" t="inlineStr">
        <is>
          <t>Provision VPN accounts and MFA tokens</t>
        </is>
      </c>
      <c r="C10" s="148" t="inlineStr">
        <is>
          <t>I</t>
        </is>
      </c>
      <c r="D10" s="148" t="inlineStr">
        <is>
          <t>I</t>
        </is>
      </c>
      <c r="E10" s="148" t="inlineStr">
        <is>
          <t>I</t>
        </is>
      </c>
      <c r="F10" s="147" t="inlineStr">
        <is>
          <t>C</t>
        </is>
      </c>
      <c r="G10" s="146" t="inlineStr">
        <is>
          <t>R</t>
        </is>
      </c>
      <c r="H10" s="148" t="inlineStr">
        <is>
          <t>I</t>
        </is>
      </c>
      <c r="I10" s="148" t="inlineStr">
        <is>
          <t>I</t>
        </is>
      </c>
      <c r="J10" s="148" t="inlineStr">
        <is>
          <t>I</t>
        </is>
      </c>
      <c r="K10" s="148" t="inlineStr">
        <is>
          <t>I</t>
        </is>
      </c>
      <c r="L10" s="151" t="inlineStr">
        <is>
          <t>I</t>
        </is>
      </c>
    </row>
    <row r="11">
      <c r="A11" s="5" t="inlineStr">
        <is>
          <t>9</t>
        </is>
      </c>
      <c r="B11" s="7" t="inlineStr">
        <is>
          <t>Develop virtual training curriculum</t>
        </is>
      </c>
      <c r="C11" s="149" t="inlineStr">
        <is>
          <t>A</t>
        </is>
      </c>
      <c r="D11" s="148" t="inlineStr">
        <is>
          <t>I</t>
        </is>
      </c>
      <c r="E11" s="148" t="inlineStr">
        <is>
          <t>I</t>
        </is>
      </c>
      <c r="F11" s="147" t="inlineStr">
        <is>
          <t>C</t>
        </is>
      </c>
      <c r="G11" s="147" t="inlineStr">
        <is>
          <t>C</t>
        </is>
      </c>
      <c r="H11" s="146" t="inlineStr">
        <is>
          <t>R</t>
        </is>
      </c>
      <c r="I11" s="147" t="inlineStr">
        <is>
          <t>C</t>
        </is>
      </c>
      <c r="J11" s="147" t="inlineStr">
        <is>
          <t>C</t>
        </is>
      </c>
      <c r="K11" s="148" t="inlineStr">
        <is>
          <t>I</t>
        </is>
      </c>
      <c r="L11" s="151" t="inlineStr">
        <is>
          <t>I</t>
        </is>
      </c>
    </row>
    <row r="12">
      <c r="A12" s="10" t="inlineStr">
        <is>
          <t>10</t>
        </is>
      </c>
      <c r="B12" s="12" t="inlineStr">
        <is>
          <t>Prepare onboarding packets</t>
        </is>
      </c>
      <c r="C12" s="148" t="inlineStr">
        <is>
          <t>I</t>
        </is>
      </c>
      <c r="D12" s="147" t="inlineStr">
        <is>
          <t>C</t>
        </is>
      </c>
      <c r="E12" s="146" t="inlineStr">
        <is>
          <t>R</t>
        </is>
      </c>
      <c r="F12" s="147" t="inlineStr">
        <is>
          <t>C</t>
        </is>
      </c>
      <c r="G12" s="147" t="inlineStr">
        <is>
          <t>C</t>
        </is>
      </c>
      <c r="H12" s="147" t="inlineStr">
        <is>
          <t>C</t>
        </is>
      </c>
      <c r="I12" s="148" t="inlineStr">
        <is>
          <t>I</t>
        </is>
      </c>
      <c r="J12" s="147" t="inlineStr">
        <is>
          <t>C</t>
        </is>
      </c>
      <c r="K12" s="148" t="inlineStr">
        <is>
          <t>I</t>
        </is>
      </c>
      <c r="L12" s="151" t="inlineStr">
        <is>
          <t>I</t>
        </is>
      </c>
    </row>
    <row r="13">
      <c r="A13" s="5" t="inlineStr">
        <is>
          <t>11</t>
        </is>
      </c>
      <c r="B13" s="7" t="inlineStr">
        <is>
          <t>Screen and interview candidates</t>
        </is>
      </c>
      <c r="C13" s="149" t="inlineStr">
        <is>
          <t>A</t>
        </is>
      </c>
      <c r="D13" s="146" t="inlineStr">
        <is>
          <t>R</t>
        </is>
      </c>
      <c r="E13" s="147" t="inlineStr">
        <is>
          <t>C</t>
        </is>
      </c>
      <c r="F13" s="148" t="inlineStr">
        <is>
          <t>I</t>
        </is>
      </c>
      <c r="G13" s="148" t="inlineStr">
        <is>
          <t>I</t>
        </is>
      </c>
      <c r="H13" s="148" t="inlineStr">
        <is>
          <t>I</t>
        </is>
      </c>
      <c r="I13" s="148" t="inlineStr">
        <is>
          <t>I</t>
        </is>
      </c>
      <c r="J13" s="147" t="inlineStr">
        <is>
          <t>C</t>
        </is>
      </c>
      <c r="K13" s="148" t="inlineStr">
        <is>
          <t>I</t>
        </is>
      </c>
      <c r="L13" s="151" t="inlineStr">
        <is>
          <t>I</t>
        </is>
      </c>
    </row>
    <row r="14">
      <c r="A14" s="10" t="inlineStr">
        <is>
          <t>12</t>
        </is>
      </c>
      <c r="B14" s="12" t="inlineStr">
        <is>
          <t>Initiate eQIP accounts</t>
        </is>
      </c>
      <c r="C14" s="148" t="inlineStr">
        <is>
          <t>I</t>
        </is>
      </c>
      <c r="D14" s="148" t="inlineStr">
        <is>
          <t>I</t>
        </is>
      </c>
      <c r="E14" s="148" t="inlineStr">
        <is>
          <t>I</t>
        </is>
      </c>
      <c r="F14" s="146" t="inlineStr">
        <is>
          <t>R</t>
        </is>
      </c>
      <c r="G14" s="148" t="inlineStr">
        <is>
          <t>I</t>
        </is>
      </c>
      <c r="H14" s="148" t="inlineStr">
        <is>
          <t>I</t>
        </is>
      </c>
      <c r="I14" s="148" t="inlineStr">
        <is>
          <t>I</t>
        </is>
      </c>
      <c r="J14" s="148" t="inlineStr">
        <is>
          <t>I</t>
        </is>
      </c>
      <c r="K14" s="149" t="inlineStr">
        <is>
          <t>A</t>
        </is>
      </c>
      <c r="L14" s="151" t="inlineStr">
        <is>
          <t>I</t>
        </is>
      </c>
    </row>
    <row r="15">
      <c r="A15" s="5" t="inlineStr">
        <is>
          <t>13</t>
        </is>
      </c>
      <c r="B15" s="7" t="inlineStr">
        <is>
          <t>Ship equipment to remote locations</t>
        </is>
      </c>
      <c r="C15" s="148" t="inlineStr">
        <is>
          <t>I</t>
        </is>
      </c>
      <c r="D15" s="148" t="inlineStr">
        <is>
          <t>I</t>
        </is>
      </c>
      <c r="E15" s="148" t="inlineStr">
        <is>
          <t>I</t>
        </is>
      </c>
      <c r="F15" s="148" t="inlineStr">
        <is>
          <t>I</t>
        </is>
      </c>
      <c r="G15" s="146" t="inlineStr">
        <is>
          <t>R</t>
        </is>
      </c>
      <c r="H15" s="148" t="inlineStr">
        <is>
          <t>I</t>
        </is>
      </c>
      <c r="I15" s="148" t="inlineStr">
        <is>
          <t>I</t>
        </is>
      </c>
      <c r="J15" s="148" t="inlineStr">
        <is>
          <t>I</t>
        </is>
      </c>
      <c r="K15" s="148" t="inlineStr">
        <is>
          <t>I</t>
        </is>
      </c>
      <c r="L15" s="150" t="inlineStr">
        <is>
          <t>C</t>
        </is>
      </c>
    </row>
    <row r="16">
      <c r="A16" s="10" t="inlineStr">
        <is>
          <t>14</t>
        </is>
      </c>
      <c r="B16" s="12" t="inlineStr">
        <is>
          <t>Conduct Day 1 orientation</t>
        </is>
      </c>
      <c r="C16" s="149" t="inlineStr">
        <is>
          <t>A</t>
        </is>
      </c>
      <c r="D16" s="147" t="inlineStr">
        <is>
          <t>C</t>
        </is>
      </c>
      <c r="E16" s="146" t="inlineStr">
        <is>
          <t>R</t>
        </is>
      </c>
      <c r="F16" s="147" t="inlineStr">
        <is>
          <t>C</t>
        </is>
      </c>
      <c r="G16" s="147" t="inlineStr">
        <is>
          <t>C</t>
        </is>
      </c>
      <c r="H16" s="147" t="inlineStr">
        <is>
          <t>C</t>
        </is>
      </c>
      <c r="I16" s="148" t="inlineStr">
        <is>
          <t>I</t>
        </is>
      </c>
      <c r="J16" s="147" t="inlineStr">
        <is>
          <t>C</t>
        </is>
      </c>
      <c r="K16" s="148" t="inlineStr">
        <is>
          <t>I</t>
        </is>
      </c>
      <c r="L16" s="151" t="inlineStr">
        <is>
          <t>I</t>
        </is>
      </c>
    </row>
    <row r="17">
      <c r="A17" s="5" t="inlineStr">
        <is>
          <t>15</t>
        </is>
      </c>
      <c r="B17" s="7" t="inlineStr">
        <is>
          <t>Launch security awareness training</t>
        </is>
      </c>
      <c r="C17" s="148" t="inlineStr">
        <is>
          <t>I</t>
        </is>
      </c>
      <c r="D17" s="148" t="inlineStr">
        <is>
          <t>I</t>
        </is>
      </c>
      <c r="E17" s="148" t="inlineStr">
        <is>
          <t>I</t>
        </is>
      </c>
      <c r="F17" s="149" t="inlineStr">
        <is>
          <t>A</t>
        </is>
      </c>
      <c r="G17" s="148" t="inlineStr">
        <is>
          <t>I</t>
        </is>
      </c>
      <c r="H17" s="146" t="inlineStr">
        <is>
          <t>R</t>
        </is>
      </c>
      <c r="I17" s="148" t="inlineStr">
        <is>
          <t>I</t>
        </is>
      </c>
      <c r="J17" s="148" t="inlineStr">
        <is>
          <t>I</t>
        </is>
      </c>
      <c r="K17" s="148" t="inlineStr">
        <is>
          <t>I</t>
        </is>
      </c>
      <c r="L17" s="151" t="inlineStr">
        <is>
          <t>I</t>
        </is>
      </c>
    </row>
    <row r="18">
      <c r="A18" s="10" t="inlineStr">
        <is>
          <t>16</t>
        </is>
      </c>
      <c r="B18" s="12" t="inlineStr">
        <is>
          <t>Complete candidate interviews</t>
        </is>
      </c>
      <c r="C18" s="148" t="inlineStr">
        <is>
          <t>I</t>
        </is>
      </c>
      <c r="D18" s="146" t="inlineStr">
        <is>
          <t>R</t>
        </is>
      </c>
      <c r="E18" s="148" t="inlineStr">
        <is>
          <t>I</t>
        </is>
      </c>
      <c r="F18" s="148" t="inlineStr">
        <is>
          <t>I</t>
        </is>
      </c>
      <c r="G18" s="148" t="inlineStr">
        <is>
          <t>I</t>
        </is>
      </c>
      <c r="H18" s="148" t="inlineStr">
        <is>
          <t>I</t>
        </is>
      </c>
      <c r="I18" s="148" t="inlineStr">
        <is>
          <t>I</t>
        </is>
      </c>
      <c r="J18" s="149" t="inlineStr">
        <is>
          <t>A</t>
        </is>
      </c>
      <c r="K18" s="148" t="inlineStr">
        <is>
          <t>I</t>
        </is>
      </c>
      <c r="L18" s="151" t="inlineStr">
        <is>
          <t>I</t>
        </is>
      </c>
    </row>
    <row r="19">
      <c r="A19" s="5" t="inlineStr">
        <is>
          <t>17</t>
        </is>
      </c>
      <c r="B19" s="7" t="inlineStr">
        <is>
          <t>Collect OF-306 forms</t>
        </is>
      </c>
      <c r="C19" s="148" t="inlineStr">
        <is>
          <t>I</t>
        </is>
      </c>
      <c r="D19" s="148" t="inlineStr">
        <is>
          <t>I</t>
        </is>
      </c>
      <c r="E19" s="147" t="inlineStr">
        <is>
          <t>C</t>
        </is>
      </c>
      <c r="F19" s="146" t="inlineStr">
        <is>
          <t>R</t>
        </is>
      </c>
      <c r="G19" s="148" t="inlineStr">
        <is>
          <t>I</t>
        </is>
      </c>
      <c r="H19" s="148" t="inlineStr">
        <is>
          <t>I</t>
        </is>
      </c>
      <c r="I19" s="148" t="inlineStr">
        <is>
          <t>I</t>
        </is>
      </c>
      <c r="J19" s="148" t="inlineStr">
        <is>
          <t>I</t>
        </is>
      </c>
      <c r="K19" s="148" t="inlineStr">
        <is>
          <t>I</t>
        </is>
      </c>
      <c r="L19" s="151" t="inlineStr">
        <is>
          <t>I</t>
        </is>
      </c>
    </row>
    <row r="20">
      <c r="A20" s="10" t="inlineStr">
        <is>
          <t>18</t>
        </is>
      </c>
      <c r="B20" s="12" t="inlineStr">
        <is>
          <t>Verify remote workspace attestation</t>
        </is>
      </c>
      <c r="C20" s="148" t="inlineStr">
        <is>
          <t>I</t>
        </is>
      </c>
      <c r="D20" s="148" t="inlineStr">
        <is>
          <t>I</t>
        </is>
      </c>
      <c r="E20" s="148" t="inlineStr">
        <is>
          <t>I</t>
        </is>
      </c>
      <c r="F20" s="149" t="inlineStr">
        <is>
          <t>A</t>
        </is>
      </c>
      <c r="G20" s="146" t="inlineStr">
        <is>
          <t>R</t>
        </is>
      </c>
      <c r="H20" s="148" t="inlineStr">
        <is>
          <t>I</t>
        </is>
      </c>
      <c r="I20" s="148" t="inlineStr">
        <is>
          <t>I</t>
        </is>
      </c>
      <c r="J20" s="147" t="inlineStr">
        <is>
          <t>C</t>
        </is>
      </c>
      <c r="K20" s="148" t="inlineStr">
        <is>
          <t>I</t>
        </is>
      </c>
      <c r="L20" s="151" t="inlineStr">
        <is>
          <t>I</t>
        </is>
      </c>
    </row>
    <row r="21">
      <c r="A21" s="5" t="inlineStr">
        <is>
          <t>19</t>
        </is>
      </c>
      <c r="B21" s="7" t="inlineStr">
        <is>
          <t>Begin role-specific training</t>
        </is>
      </c>
      <c r="C21" s="149" t="inlineStr">
        <is>
          <t>A</t>
        </is>
      </c>
      <c r="D21" s="148" t="inlineStr">
        <is>
          <t>I</t>
        </is>
      </c>
      <c r="E21" s="148" t="inlineStr">
        <is>
          <t>I</t>
        </is>
      </c>
      <c r="F21" s="148" t="inlineStr">
        <is>
          <t>I</t>
        </is>
      </c>
      <c r="G21" s="148" t="inlineStr">
        <is>
          <t>I</t>
        </is>
      </c>
      <c r="H21" s="146" t="inlineStr">
        <is>
          <t>R</t>
        </is>
      </c>
      <c r="I21" s="148" t="inlineStr">
        <is>
          <t>I</t>
        </is>
      </c>
      <c r="J21" s="147" t="inlineStr">
        <is>
          <t>C</t>
        </is>
      </c>
      <c r="K21" s="148" t="inlineStr">
        <is>
          <t>I</t>
        </is>
      </c>
      <c r="L21" s="151" t="inlineStr">
        <is>
          <t>I</t>
        </is>
      </c>
    </row>
    <row r="22">
      <c r="A22" s="10" t="inlineStr">
        <is>
          <t>20</t>
        </is>
      </c>
      <c r="B22" s="12" t="inlineStr">
        <is>
          <t>Establish QA monitoring schedule</t>
        </is>
      </c>
      <c r="C22" s="149" t="inlineStr">
        <is>
          <t>A</t>
        </is>
      </c>
      <c r="D22" s="148" t="inlineStr">
        <is>
          <t>I</t>
        </is>
      </c>
      <c r="E22" s="148" t="inlineStr">
        <is>
          <t>I</t>
        </is>
      </c>
      <c r="F22" s="148" t="inlineStr">
        <is>
          <t>I</t>
        </is>
      </c>
      <c r="G22" s="148" t="inlineStr">
        <is>
          <t>I</t>
        </is>
      </c>
      <c r="H22" s="147" t="inlineStr">
        <is>
          <t>C</t>
        </is>
      </c>
      <c r="I22" s="146" t="inlineStr">
        <is>
          <t>R</t>
        </is>
      </c>
      <c r="J22" s="147" t="inlineStr">
        <is>
          <t>C</t>
        </is>
      </c>
      <c r="K22" s="148" t="inlineStr">
        <is>
          <t>I</t>
        </is>
      </c>
      <c r="L22" s="151" t="inlineStr">
        <is>
          <t>I</t>
        </is>
      </c>
    </row>
    <row r="23">
      <c r="A23" s="5" t="inlineStr">
        <is>
          <t>21</t>
        </is>
      </c>
      <c r="B23" s="7" t="inlineStr">
        <is>
          <t>Extend offers to candidates</t>
        </is>
      </c>
      <c r="C23" s="149" t="inlineStr">
        <is>
          <t>A</t>
        </is>
      </c>
      <c r="D23" s="146" t="inlineStr">
        <is>
          <t>R</t>
        </is>
      </c>
      <c r="E23" s="147" t="inlineStr">
        <is>
          <t>C</t>
        </is>
      </c>
      <c r="F23" s="148" t="inlineStr">
        <is>
          <t>I</t>
        </is>
      </c>
      <c r="G23" s="148" t="inlineStr">
        <is>
          <t>I</t>
        </is>
      </c>
      <c r="H23" s="148" t="inlineStr">
        <is>
          <t>I</t>
        </is>
      </c>
      <c r="I23" s="148" t="inlineStr">
        <is>
          <t>I</t>
        </is>
      </c>
      <c r="J23" s="148" t="inlineStr">
        <is>
          <t>I</t>
        </is>
      </c>
      <c r="K23" s="147" t="inlineStr">
        <is>
          <t>C</t>
        </is>
      </c>
      <c r="L23" s="150" t="inlineStr">
        <is>
          <t>C</t>
        </is>
      </c>
    </row>
    <row r="24">
      <c r="A24" s="10" t="inlineStr">
        <is>
          <t>22</t>
        </is>
      </c>
      <c r="B24" s="12" t="inlineStr">
        <is>
          <t>Schedule fingerprint appointments</t>
        </is>
      </c>
      <c r="C24" s="148" t="inlineStr">
        <is>
          <t>I</t>
        </is>
      </c>
      <c r="D24" s="148" t="inlineStr">
        <is>
          <t>I</t>
        </is>
      </c>
      <c r="E24" s="148" t="inlineStr">
        <is>
          <t>I</t>
        </is>
      </c>
      <c r="F24" s="146" t="inlineStr">
        <is>
          <t>R</t>
        </is>
      </c>
      <c r="G24" s="148" t="inlineStr">
        <is>
          <t>I</t>
        </is>
      </c>
      <c r="H24" s="148" t="inlineStr">
        <is>
          <t>I</t>
        </is>
      </c>
      <c r="I24" s="148" t="inlineStr">
        <is>
          <t>I</t>
        </is>
      </c>
      <c r="J24" s="148" t="inlineStr">
        <is>
          <t>I</t>
        </is>
      </c>
      <c r="K24" s="148" t="inlineStr">
        <is>
          <t>I</t>
        </is>
      </c>
      <c r="L24" s="151" t="inlineStr">
        <is>
          <t>I</t>
        </is>
      </c>
    </row>
    <row r="25">
      <c r="A25" s="5" t="inlineStr">
        <is>
          <t>23</t>
        </is>
      </c>
      <c r="B25" s="7" t="inlineStr">
        <is>
          <t>Confirm VPN connectivity</t>
        </is>
      </c>
      <c r="C25" s="148" t="inlineStr">
        <is>
          <t>I</t>
        </is>
      </c>
      <c r="D25" s="148" t="inlineStr">
        <is>
          <t>I</t>
        </is>
      </c>
      <c r="E25" s="148" t="inlineStr">
        <is>
          <t>I</t>
        </is>
      </c>
      <c r="F25" s="148" t="inlineStr">
        <is>
          <t>I</t>
        </is>
      </c>
      <c r="G25" s="146" t="inlineStr">
        <is>
          <t>R</t>
        </is>
      </c>
      <c r="H25" s="148" t="inlineStr">
        <is>
          <t>I</t>
        </is>
      </c>
      <c r="I25" s="148" t="inlineStr">
        <is>
          <t>I</t>
        </is>
      </c>
      <c r="J25" s="147" t="inlineStr">
        <is>
          <t>C</t>
        </is>
      </c>
      <c r="K25" s="148" t="inlineStr">
        <is>
          <t>I</t>
        </is>
      </c>
      <c r="L25" s="151" t="inlineStr">
        <is>
          <t>I</t>
        </is>
      </c>
    </row>
    <row r="26">
      <c r="A26" s="10" t="inlineStr">
        <is>
          <t>24</t>
        </is>
      </c>
      <c r="B26" s="12" t="inlineStr">
        <is>
          <t>Administer training knowledge checks</t>
        </is>
      </c>
      <c r="C26" s="148" t="inlineStr">
        <is>
          <t>I</t>
        </is>
      </c>
      <c r="D26" s="148" t="inlineStr">
        <is>
          <t>I</t>
        </is>
      </c>
      <c r="E26" s="148" t="inlineStr">
        <is>
          <t>I</t>
        </is>
      </c>
      <c r="F26" s="148" t="inlineStr">
        <is>
          <t>I</t>
        </is>
      </c>
      <c r="G26" s="148" t="inlineStr">
        <is>
          <t>I</t>
        </is>
      </c>
      <c r="H26" s="146" t="inlineStr">
        <is>
          <t>R</t>
        </is>
      </c>
      <c r="I26" s="147" t="inlineStr">
        <is>
          <t>C</t>
        </is>
      </c>
      <c r="J26" s="147" t="inlineStr">
        <is>
          <t>C</t>
        </is>
      </c>
      <c r="K26" s="148" t="inlineStr">
        <is>
          <t>I</t>
        </is>
      </c>
      <c r="L26" s="151" t="inlineStr">
        <is>
          <t>I</t>
        </is>
      </c>
    </row>
    <row r="27">
      <c r="A27" s="5" t="inlineStr">
        <is>
          <t>25</t>
        </is>
      </c>
      <c r="B27" s="7" t="inlineStr">
        <is>
          <t>Complete I-9 verification</t>
        </is>
      </c>
      <c r="C27" s="148" t="inlineStr">
        <is>
          <t>I</t>
        </is>
      </c>
      <c r="D27" s="148" t="inlineStr">
        <is>
          <t>I</t>
        </is>
      </c>
      <c r="E27" s="146" t="inlineStr">
        <is>
          <t>R</t>
        </is>
      </c>
      <c r="F27" s="148" t="inlineStr">
        <is>
          <t>I</t>
        </is>
      </c>
      <c r="G27" s="148" t="inlineStr">
        <is>
          <t>I</t>
        </is>
      </c>
      <c r="H27" s="148" t="inlineStr">
        <is>
          <t>I</t>
        </is>
      </c>
      <c r="I27" s="148" t="inlineStr">
        <is>
          <t>I</t>
        </is>
      </c>
      <c r="J27" s="148" t="inlineStr">
        <is>
          <t>I</t>
        </is>
      </c>
      <c r="K27" s="149" t="inlineStr">
        <is>
          <t>A</t>
        </is>
      </c>
      <c r="L27" s="151" t="inlineStr">
        <is>
          <t>I</t>
        </is>
      </c>
    </row>
    <row r="28">
      <c r="A28" s="10" t="inlineStr">
        <is>
          <t>26</t>
        </is>
      </c>
      <c r="B28" s="12" t="inlineStr">
        <is>
          <t>Conduct live QA monitoring</t>
        </is>
      </c>
      <c r="C28" s="148" t="inlineStr">
        <is>
          <t>I</t>
        </is>
      </c>
      <c r="D28" s="148" t="inlineStr">
        <is>
          <t>I</t>
        </is>
      </c>
      <c r="E28" s="148" t="inlineStr">
        <is>
          <t>I</t>
        </is>
      </c>
      <c r="F28" s="148" t="inlineStr">
        <is>
          <t>I</t>
        </is>
      </c>
      <c r="G28" s="148" t="inlineStr">
        <is>
          <t>I</t>
        </is>
      </c>
      <c r="H28" s="148" t="inlineStr">
        <is>
          <t>I</t>
        </is>
      </c>
      <c r="I28" s="146" t="inlineStr">
        <is>
          <t>R</t>
        </is>
      </c>
      <c r="J28" s="147" t="inlineStr">
        <is>
          <t>C</t>
        </is>
      </c>
      <c r="K28" s="148" t="inlineStr">
        <is>
          <t>I</t>
        </is>
      </c>
      <c r="L28" s="151" t="inlineStr">
        <is>
          <t>I</t>
        </is>
      </c>
    </row>
    <row r="29">
      <c r="A29" s="5" t="inlineStr">
        <is>
          <t>27</t>
        </is>
      </c>
      <c r="B29" s="7" t="inlineStr">
        <is>
          <t>Review ramp progress vs plan</t>
        </is>
      </c>
      <c r="C29" s="146" t="inlineStr">
        <is>
          <t>R</t>
        </is>
      </c>
      <c r="D29" s="147" t="inlineStr">
        <is>
          <t>C</t>
        </is>
      </c>
      <c r="E29" s="147" t="inlineStr">
        <is>
          <t>C</t>
        </is>
      </c>
      <c r="F29" s="147" t="inlineStr">
        <is>
          <t>C</t>
        </is>
      </c>
      <c r="G29" s="147" t="inlineStr">
        <is>
          <t>C</t>
        </is>
      </c>
      <c r="H29" s="147" t="inlineStr">
        <is>
          <t>C</t>
        </is>
      </c>
      <c r="I29" s="147" t="inlineStr">
        <is>
          <t>C</t>
        </is>
      </c>
      <c r="J29" s="147" t="inlineStr">
        <is>
          <t>C</t>
        </is>
      </c>
      <c r="K29" s="149" t="inlineStr">
        <is>
          <t>A</t>
        </is>
      </c>
      <c r="L29" s="150" t="inlineStr">
        <is>
          <t>C</t>
        </is>
      </c>
    </row>
    <row r="30">
      <c r="A30" s="10" t="inlineStr">
        <is>
          <t>28</t>
        </is>
      </c>
      <c r="B30" s="12" t="inlineStr">
        <is>
          <t>Source Cohort 2 candidates</t>
        </is>
      </c>
      <c r="C30" s="149" t="inlineStr">
        <is>
          <t>A</t>
        </is>
      </c>
      <c r="D30" s="146" t="inlineStr">
        <is>
          <t>R</t>
        </is>
      </c>
      <c r="E30" s="148" t="inlineStr">
        <is>
          <t>I</t>
        </is>
      </c>
      <c r="F30" s="148" t="inlineStr">
        <is>
          <t>I</t>
        </is>
      </c>
      <c r="G30" s="148" t="inlineStr">
        <is>
          <t>I</t>
        </is>
      </c>
      <c r="H30" s="148" t="inlineStr">
        <is>
          <t>I</t>
        </is>
      </c>
      <c r="I30" s="148" t="inlineStr">
        <is>
          <t>I</t>
        </is>
      </c>
      <c r="J30" s="148" t="inlineStr">
        <is>
          <t>I</t>
        </is>
      </c>
      <c r="K30" s="148" t="inlineStr">
        <is>
          <t>I</t>
        </is>
      </c>
      <c r="L30" s="151" t="inlineStr">
        <is>
          <t>I</t>
        </is>
      </c>
    </row>
    <row r="31">
      <c r="A31" s="5" t="inlineStr">
        <is>
          <t>29</t>
        </is>
      </c>
      <c r="B31" s="7" t="inlineStr">
        <is>
          <t>Submit interim clearance requests</t>
        </is>
      </c>
      <c r="C31" s="148" t="inlineStr">
        <is>
          <t>I</t>
        </is>
      </c>
      <c r="D31" s="148" t="inlineStr">
        <is>
          <t>I</t>
        </is>
      </c>
      <c r="E31" s="148" t="inlineStr">
        <is>
          <t>I</t>
        </is>
      </c>
      <c r="F31" s="146" t="inlineStr">
        <is>
          <t>R</t>
        </is>
      </c>
      <c r="G31" s="148" t="inlineStr">
        <is>
          <t>I</t>
        </is>
      </c>
      <c r="H31" s="148" t="inlineStr">
        <is>
          <t>I</t>
        </is>
      </c>
      <c r="I31" s="148" t="inlineStr">
        <is>
          <t>I</t>
        </is>
      </c>
      <c r="J31" s="148" t="inlineStr">
        <is>
          <t>I</t>
        </is>
      </c>
      <c r="K31" s="149" t="inlineStr">
        <is>
          <t>A</t>
        </is>
      </c>
      <c r="L31" s="151" t="inlineStr">
        <is>
          <t>I</t>
        </is>
      </c>
    </row>
    <row r="32">
      <c r="A32" s="10" t="inlineStr">
        <is>
          <t>30</t>
        </is>
      </c>
      <c r="B32" s="12" t="inlineStr">
        <is>
          <t>Order Cohort 2 equipment</t>
        </is>
      </c>
      <c r="C32" s="149" t="inlineStr">
        <is>
          <t>A</t>
        </is>
      </c>
      <c r="D32" s="148" t="inlineStr">
        <is>
          <t>I</t>
        </is>
      </c>
      <c r="E32" s="148" t="inlineStr">
        <is>
          <t>I</t>
        </is>
      </c>
      <c r="F32" s="148" t="inlineStr">
        <is>
          <t>I</t>
        </is>
      </c>
      <c r="G32" s="146" t="inlineStr">
        <is>
          <t>R</t>
        </is>
      </c>
      <c r="H32" s="148" t="inlineStr">
        <is>
          <t>I</t>
        </is>
      </c>
      <c r="I32" s="148" t="inlineStr">
        <is>
          <t>I</t>
        </is>
      </c>
      <c r="J32" s="148" t="inlineStr">
        <is>
          <t>I</t>
        </is>
      </c>
      <c r="K32" s="147" t="inlineStr">
        <is>
          <t>C</t>
        </is>
      </c>
      <c r="L32" s="150" t="inlineStr">
        <is>
          <t>C</t>
        </is>
      </c>
    </row>
    <row r="33">
      <c r="A33" s="5" t="inlineStr">
        <is>
          <t>31</t>
        </is>
      </c>
      <c r="B33" s="7" t="inlineStr">
        <is>
          <t>Transition Cohort 1 to nesting</t>
        </is>
      </c>
      <c r="C33" s="149" t="inlineStr">
        <is>
          <t>A</t>
        </is>
      </c>
      <c r="D33" s="148" t="inlineStr">
        <is>
          <t>I</t>
        </is>
      </c>
      <c r="E33" s="148" t="inlineStr">
        <is>
          <t>I</t>
        </is>
      </c>
      <c r="F33" s="148" t="inlineStr">
        <is>
          <t>I</t>
        </is>
      </c>
      <c r="G33" s="148" t="inlineStr">
        <is>
          <t>I</t>
        </is>
      </c>
      <c r="H33" s="146" t="inlineStr">
        <is>
          <t>R</t>
        </is>
      </c>
      <c r="I33" s="147" t="inlineStr">
        <is>
          <t>C</t>
        </is>
      </c>
      <c r="J33" s="146" t="inlineStr">
        <is>
          <t>R</t>
        </is>
      </c>
      <c r="K33" s="148" t="inlineStr">
        <is>
          <t>I</t>
        </is>
      </c>
      <c r="L33" s="151" t="inlineStr">
        <is>
          <t>I</t>
        </is>
      </c>
    </row>
    <row r="34">
      <c r="A34" s="10" t="inlineStr">
        <is>
          <t>32</t>
        </is>
      </c>
      <c r="B34" s="12" t="inlineStr">
        <is>
          <t>Conduct 7-day check-in surveys</t>
        </is>
      </c>
      <c r="C34" s="148" t="inlineStr">
        <is>
          <t>I</t>
        </is>
      </c>
      <c r="D34" s="148" t="inlineStr">
        <is>
          <t>I</t>
        </is>
      </c>
      <c r="E34" s="146" t="inlineStr">
        <is>
          <t>R</t>
        </is>
      </c>
      <c r="F34" s="148" t="inlineStr">
        <is>
          <t>I</t>
        </is>
      </c>
      <c r="G34" s="148" t="inlineStr">
        <is>
          <t>I</t>
        </is>
      </c>
      <c r="H34" s="148" t="inlineStr">
        <is>
          <t>I</t>
        </is>
      </c>
      <c r="I34" s="148" t="inlineStr">
        <is>
          <t>I</t>
        </is>
      </c>
      <c r="J34" s="147" t="inlineStr">
        <is>
          <t>C</t>
        </is>
      </c>
      <c r="K34" s="148" t="inlineStr">
        <is>
          <t>I</t>
        </is>
      </c>
      <c r="L34" s="151" t="inlineStr">
        <is>
          <t>I</t>
        </is>
      </c>
    </row>
    <row r="35">
      <c r="A35" s="5" t="inlineStr">
        <is>
          <t>33</t>
        </is>
      </c>
      <c r="B35" s="7" t="inlineStr">
        <is>
          <t>Calibrate QA scoring</t>
        </is>
      </c>
      <c r="C35" s="149" t="inlineStr">
        <is>
          <t>A</t>
        </is>
      </c>
      <c r="D35" s="148" t="inlineStr">
        <is>
          <t>I</t>
        </is>
      </c>
      <c r="E35" s="148" t="inlineStr">
        <is>
          <t>I</t>
        </is>
      </c>
      <c r="F35" s="148" t="inlineStr">
        <is>
          <t>I</t>
        </is>
      </c>
      <c r="G35" s="148" t="inlineStr">
        <is>
          <t>I</t>
        </is>
      </c>
      <c r="H35" s="147" t="inlineStr">
        <is>
          <t>C</t>
        </is>
      </c>
      <c r="I35" s="146" t="inlineStr">
        <is>
          <t>R</t>
        </is>
      </c>
      <c r="J35" s="147" t="inlineStr">
        <is>
          <t>C</t>
        </is>
      </c>
      <c r="K35" s="148" t="inlineStr">
        <is>
          <t>I</t>
        </is>
      </c>
      <c r="L35" s="151" t="inlineStr">
        <is>
          <t>I</t>
        </is>
      </c>
    </row>
    <row r="36">
      <c r="A36" s="10" t="inlineStr">
        <is>
          <t>34</t>
        </is>
      </c>
      <c r="B36" s="12" t="inlineStr">
        <is>
          <t>Update attrition risk assessment</t>
        </is>
      </c>
      <c r="C36" s="146" t="inlineStr">
        <is>
          <t>R</t>
        </is>
      </c>
      <c r="D36" s="147" t="inlineStr">
        <is>
          <t>C</t>
        </is>
      </c>
      <c r="E36" s="147" t="inlineStr">
        <is>
          <t>C</t>
        </is>
      </c>
      <c r="F36" s="148" t="inlineStr">
        <is>
          <t>I</t>
        </is>
      </c>
      <c r="G36" s="148" t="inlineStr">
        <is>
          <t>I</t>
        </is>
      </c>
      <c r="H36" s="148" t="inlineStr">
        <is>
          <t>I</t>
        </is>
      </c>
      <c r="I36" s="147" t="inlineStr">
        <is>
          <t>C</t>
        </is>
      </c>
      <c r="J36" s="147" t="inlineStr">
        <is>
          <t>C</t>
        </is>
      </c>
      <c r="K36" s="148" t="inlineStr">
        <is>
          <t>I</t>
        </is>
      </c>
      <c r="L36" s="151" t="inlineStr">
        <is>
          <t>I</t>
        </is>
      </c>
    </row>
    <row r="37">
      <c r="A37" s="5" t="inlineStr">
        <is>
          <t>35</t>
        </is>
      </c>
      <c r="B37" s="7" t="inlineStr">
        <is>
          <t>Prepare surge progress briefing for COR</t>
        </is>
      </c>
      <c r="C37" s="146" t="inlineStr">
        <is>
          <t>R</t>
        </is>
      </c>
      <c r="D37" s="147" t="inlineStr">
        <is>
          <t>C</t>
        </is>
      </c>
      <c r="E37" s="147" t="inlineStr">
        <is>
          <t>C</t>
        </is>
      </c>
      <c r="F37" s="147" t="inlineStr">
        <is>
          <t>C</t>
        </is>
      </c>
      <c r="G37" s="147" t="inlineStr">
        <is>
          <t>C</t>
        </is>
      </c>
      <c r="H37" s="147" t="inlineStr">
        <is>
          <t>C</t>
        </is>
      </c>
      <c r="I37" s="147" t="inlineStr">
        <is>
          <t>C</t>
        </is>
      </c>
      <c r="J37" s="148" t="inlineStr">
        <is>
          <t>I</t>
        </is>
      </c>
      <c r="K37" s="149" t="inlineStr">
        <is>
          <t>A</t>
        </is>
      </c>
      <c r="L37" s="150" t="inlineStr">
        <is>
          <t>C</t>
        </is>
      </c>
    </row>
    <row r="38">
      <c r="A38" s="10" t="inlineStr">
        <is>
          <t>36</t>
        </is>
      </c>
      <c r="B38" s="12" t="inlineStr">
        <is>
          <t>Conduct CUI handling spot checks</t>
        </is>
      </c>
      <c r="C38" s="148" t="inlineStr">
        <is>
          <t>I</t>
        </is>
      </c>
      <c r="D38" s="148" t="inlineStr">
        <is>
          <t>I</t>
        </is>
      </c>
      <c r="E38" s="148" t="inlineStr">
        <is>
          <t>I</t>
        </is>
      </c>
      <c r="F38" s="146" t="inlineStr">
        <is>
          <t>R</t>
        </is>
      </c>
      <c r="G38" s="147" t="inlineStr">
        <is>
          <t>C</t>
        </is>
      </c>
      <c r="H38" s="148" t="inlineStr">
        <is>
          <t>I</t>
        </is>
      </c>
      <c r="I38" s="148" t="inlineStr">
        <is>
          <t>I</t>
        </is>
      </c>
      <c r="J38" s="147" t="inlineStr">
        <is>
          <t>C</t>
        </is>
      </c>
      <c r="K38" s="148" t="inlineStr">
        <is>
          <t>I</t>
        </is>
      </c>
      <c r="L38" s="151" t="inlineStr">
        <is>
          <t>I</t>
        </is>
      </c>
    </row>
    <row r="39">
      <c r="A39" s="5" t="inlineStr">
        <is>
          <t>37</t>
        </is>
      </c>
      <c r="B39" s="7" t="inlineStr">
        <is>
          <t>Audit endpoint protection compliance</t>
        </is>
      </c>
      <c r="C39" s="148" t="inlineStr">
        <is>
          <t>I</t>
        </is>
      </c>
      <c r="D39" s="148" t="inlineStr">
        <is>
          <t>I</t>
        </is>
      </c>
      <c r="E39" s="148" t="inlineStr">
        <is>
          <t>I</t>
        </is>
      </c>
      <c r="F39" s="147" t="inlineStr">
        <is>
          <t>C</t>
        </is>
      </c>
      <c r="G39" s="146" t="inlineStr">
        <is>
          <t>R</t>
        </is>
      </c>
      <c r="H39" s="148" t="inlineStr">
        <is>
          <t>I</t>
        </is>
      </c>
      <c r="I39" s="148" t="inlineStr">
        <is>
          <t>I</t>
        </is>
      </c>
      <c r="J39" s="148" t="inlineStr">
        <is>
          <t>I</t>
        </is>
      </c>
      <c r="K39" s="148" t="inlineStr">
        <is>
          <t>I</t>
        </is>
      </c>
      <c r="L39" s="151" t="inlineStr">
        <is>
          <t>I</t>
        </is>
      </c>
    </row>
    <row r="40">
      <c r="A40" s="22" t="inlineStr">
        <is>
          <t>38</t>
        </is>
      </c>
      <c r="B40" s="49" t="inlineStr">
        <is>
          <t>Process multi-state tax registrations</t>
        </is>
      </c>
      <c r="C40" s="153" t="inlineStr">
        <is>
          <t>I</t>
        </is>
      </c>
      <c r="D40" s="153" t="inlineStr">
        <is>
          <t>I</t>
        </is>
      </c>
      <c r="E40" s="154" t="inlineStr">
        <is>
          <t>R</t>
        </is>
      </c>
      <c r="F40" s="153" t="inlineStr">
        <is>
          <t>I</t>
        </is>
      </c>
      <c r="G40" s="153" t="inlineStr">
        <is>
          <t>I</t>
        </is>
      </c>
      <c r="H40" s="153" t="inlineStr">
        <is>
          <t>I</t>
        </is>
      </c>
      <c r="I40" s="153" t="inlineStr">
        <is>
          <t>I</t>
        </is>
      </c>
      <c r="J40" s="153" t="inlineStr">
        <is>
          <t>I</t>
        </is>
      </c>
      <c r="K40" s="155" t="inlineStr">
        <is>
          <t>C</t>
        </is>
      </c>
      <c r="L40" s="156" t="inlineStr">
        <is>
          <t>A</t>
        </is>
      </c>
    </row>
  </sheetData>
  <mergeCells count="1">
    <mergeCell ref="A1:L1"/>
  </mergeCells>
  <dataValidations count="1">
    <dataValidation sqref="C3:L40" showDropDown="0" showInputMessage="0" showErrorMessage="0" allowBlank="1" type="list">
      <formula1>"R,A,C,I"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4" customWidth="1" min="5" max="5"/>
    <col width="14" customWidth="1" min="6" max="6"/>
    <col width="14" customWidth="1" min="7" max="7"/>
    <col width="15" customWidth="1" min="8" max="8"/>
    <col width="10" customWidth="1" min="9" max="9"/>
    <col width="11" customWidth="1" min="10" max="10"/>
    <col width="14" customWidth="1" min="11" max="11"/>
    <col width="14" customWidth="1" min="12" max="12"/>
    <col width="13" customWidth="1" min="13" max="13"/>
    <col width="13" customWidth="1" min="14" max="14"/>
    <col width="9" customWidth="1" min="15" max="15"/>
    <col width="12" customWidth="1" min="16" max="16"/>
    <col width="28" customWidth="1" min="17" max="17"/>
    <col width="28" customWidth="1" min="18" max="18"/>
    <col width="14" customWidth="1" min="19" max="19"/>
    <col width="14" customWidth="1" min="20" max="20"/>
  </cols>
  <sheetData>
    <row r="1" ht="30" customHeight="1">
      <c r="A1" s="1" t="inlineStr">
        <is>
          <t>QA MONITORING LOG</t>
        </is>
      </c>
    </row>
    <row r="2" ht="35" customHeight="1">
      <c r="A2" s="2" t="inlineStr">
        <is>
          <t>Monitoring ID</t>
        </is>
      </c>
      <c r="B2" s="3" t="inlineStr">
        <is>
          <t>Date</t>
        </is>
      </c>
      <c r="C2" s="3" t="inlineStr">
        <is>
          <t>Employee ID</t>
        </is>
      </c>
      <c r="D2" s="3" t="inlineStr">
        <is>
          <t>Employee Name</t>
        </is>
      </c>
      <c r="E2" s="3" t="inlineStr">
        <is>
          <t>Supervisor</t>
        </is>
      </c>
      <c r="F2" s="3" t="inlineStr">
        <is>
          <t>Monitoring Type</t>
        </is>
      </c>
      <c r="G2" s="3" t="inlineStr">
        <is>
          <t>Communication</t>
        </is>
      </c>
      <c r="H2" s="3" t="inlineStr">
        <is>
          <t>Process Adherence</t>
        </is>
      </c>
      <c r="I2" s="3" t="inlineStr">
        <is>
          <t>Accuracy</t>
        </is>
      </c>
      <c r="J2" s="3" t="inlineStr">
        <is>
          <t>Compliance</t>
        </is>
      </c>
      <c r="K2" s="3" t="inlineStr">
        <is>
          <t>Customer Service</t>
        </is>
      </c>
      <c r="L2" s="3" t="inlineStr">
        <is>
          <t>System Navigation</t>
        </is>
      </c>
      <c r="M2" s="3" t="inlineStr">
        <is>
          <t>Documentation</t>
        </is>
      </c>
      <c r="N2" s="3" t="inlineStr">
        <is>
          <t>Weighted Score</t>
        </is>
      </c>
      <c r="O2" s="3" t="inlineStr">
        <is>
          <t>Pass/Fail</t>
        </is>
      </c>
      <c r="P2" s="3" t="inlineStr">
        <is>
          <t>Critical Error</t>
        </is>
      </c>
      <c r="Q2" s="3" t="inlineStr">
        <is>
          <t>Strengths</t>
        </is>
      </c>
      <c r="R2" s="3" t="inlineStr">
        <is>
          <t>Areas for Improvement</t>
        </is>
      </c>
      <c r="S2" s="3" t="inlineStr">
        <is>
          <t>Coaching Provided</t>
        </is>
      </c>
      <c r="T2" s="131" t="inlineStr">
        <is>
          <t>Team Average</t>
        </is>
      </c>
    </row>
    <row r="3">
      <c r="A3" s="5" t="inlineStr">
        <is>
          <t>QA-001</t>
        </is>
      </c>
      <c r="B3" s="27" t="n">
        <v>46126</v>
      </c>
      <c r="C3" s="6" t="inlineStr">
        <is>
          <t>E-001</t>
        </is>
      </c>
      <c r="D3" s="6" t="inlineStr">
        <is>
          <t>Maria Santos</t>
        </is>
      </c>
      <c r="E3" s="6" t="inlineStr">
        <is>
          <t>T. Washington</t>
        </is>
      </c>
      <c r="F3" s="6" t="inlineStr">
        <is>
          <t>Live</t>
        </is>
      </c>
      <c r="G3" s="40" t="n">
        <v>5</v>
      </c>
      <c r="H3" s="40" t="n">
        <v>4</v>
      </c>
      <c r="I3" s="40" t="n">
        <v>5</v>
      </c>
      <c r="J3" s="40" t="n">
        <v>4</v>
      </c>
      <c r="K3" s="40" t="n">
        <v>5</v>
      </c>
      <c r="L3" s="40" t="n">
        <v>4</v>
      </c>
      <c r="M3" s="40" t="n">
        <v>4</v>
      </c>
      <c r="N3" s="43">
        <f>ROUND((G3*0.15+H3*0.15+I3*0.2+J3*0.15+K3*0.1+L3*0.1+M3*0.15)*20,1)</f>
        <v/>
      </c>
      <c r="O3" s="40">
        <f>IF(N3&gt;=80,"Pass","Fail")</f>
        <v/>
      </c>
      <c r="P3" s="40" t="inlineStr">
        <is>
          <t>N</t>
        </is>
      </c>
      <c r="Q3" s="7" t="inlineStr">
        <is>
          <t>Excellent communication, empathetic tone</t>
        </is>
      </c>
      <c r="R3" s="7" t="inlineStr">
        <is>
          <t>Minor documentation gaps</t>
        </is>
      </c>
      <c r="S3" s="6" t="inlineStr">
        <is>
          <t>Y</t>
        </is>
      </c>
      <c r="T3" s="132">
        <f>ROUND(AVERAGE(N3:N27),1)</f>
        <v/>
      </c>
    </row>
    <row r="4">
      <c r="A4" s="10" t="inlineStr">
        <is>
          <t>QA-002</t>
        </is>
      </c>
      <c r="B4" s="28" t="n">
        <v>46126</v>
      </c>
      <c r="C4" s="11" t="inlineStr">
        <is>
          <t>E-002</t>
        </is>
      </c>
      <c r="D4" s="11" t="inlineStr">
        <is>
          <t>James Mitchell</t>
        </is>
      </c>
      <c r="E4" s="11" t="inlineStr">
        <is>
          <t>L. Chen</t>
        </is>
      </c>
      <c r="F4" s="11" t="inlineStr">
        <is>
          <t>Live</t>
        </is>
      </c>
      <c r="G4" s="41" t="n">
        <v>4</v>
      </c>
      <c r="H4" s="41" t="n">
        <v>4</v>
      </c>
      <c r="I4" s="41" t="n">
        <v>4</v>
      </c>
      <c r="J4" s="41" t="n">
        <v>4</v>
      </c>
      <c r="K4" s="41" t="n">
        <v>4</v>
      </c>
      <c r="L4" s="41" t="n">
        <v>3</v>
      </c>
      <c r="M4" s="41" t="n">
        <v>4</v>
      </c>
      <c r="N4" s="44">
        <f>ROUND((G4*0.15+H4*0.15+I4*0.2+J4*0.15+K4*0.1+L4*0.1+M4*0.15)*20,1)</f>
        <v/>
      </c>
      <c r="O4" s="41">
        <f>IF(N4&gt;=80,"Pass","Fail")</f>
        <v/>
      </c>
      <c r="P4" s="41" t="inlineStr">
        <is>
          <t>N</t>
        </is>
      </c>
      <c r="Q4" s="12" t="inlineStr">
        <is>
          <t>Thorough and methodical</t>
        </is>
      </c>
      <c r="R4" s="12" t="inlineStr">
        <is>
          <t>System navigation speed</t>
        </is>
      </c>
      <c r="S4" s="11" t="inlineStr">
        <is>
          <t>Y</t>
        </is>
      </c>
      <c r="T4" s="133" t="inlineStr">
        <is>
          <t>Pass Rate</t>
        </is>
      </c>
    </row>
    <row r="5">
      <c r="A5" s="5" t="inlineStr">
        <is>
          <t>QA-003</t>
        </is>
      </c>
      <c r="B5" s="27" t="n">
        <v>46126</v>
      </c>
      <c r="C5" s="6" t="inlineStr">
        <is>
          <t>E-005</t>
        </is>
      </c>
      <c r="D5" s="6" t="inlineStr">
        <is>
          <t>Priya Sharma</t>
        </is>
      </c>
      <c r="E5" s="6" t="inlineStr">
        <is>
          <t>L. Chen</t>
        </is>
      </c>
      <c r="F5" s="6" t="inlineStr">
        <is>
          <t>Recorded</t>
        </is>
      </c>
      <c r="G5" s="40" t="n">
        <v>3</v>
      </c>
      <c r="H5" s="40" t="n">
        <v>4</v>
      </c>
      <c r="I5" s="40" t="n">
        <v>4</v>
      </c>
      <c r="J5" s="40" t="n">
        <v>4</v>
      </c>
      <c r="K5" s="40" t="n">
        <v>3</v>
      </c>
      <c r="L5" s="40" t="n">
        <v>4</v>
      </c>
      <c r="M5" s="40" t="n">
        <v>3</v>
      </c>
      <c r="N5" s="43">
        <f>ROUND((G5*0.15+H5*0.15+I5*0.2+J5*0.15+K5*0.1+L5*0.1+M5*0.15)*20,1)</f>
        <v/>
      </c>
      <c r="O5" s="40">
        <f>IF(N5&gt;=80,"Pass","Fail")</f>
        <v/>
      </c>
      <c r="P5" s="40" t="inlineStr">
        <is>
          <t>N</t>
        </is>
      </c>
      <c r="Q5" s="7" t="inlineStr">
        <is>
          <t>Accurate data entry</t>
        </is>
      </c>
      <c r="R5" s="7" t="inlineStr">
        <is>
          <t>Customer interaction needs coaching</t>
        </is>
      </c>
      <c r="S5" s="6" t="inlineStr">
        <is>
          <t>Y</t>
        </is>
      </c>
      <c r="T5" s="134">
        <f>COUNTIF(O3:O27,"Pass")/COUNTA(O3:O27)</f>
        <v/>
      </c>
    </row>
    <row r="6">
      <c r="A6" s="10" t="inlineStr">
        <is>
          <t>QA-004</t>
        </is>
      </c>
      <c r="B6" s="28" t="n">
        <v>46127</v>
      </c>
      <c r="C6" s="11" t="inlineStr">
        <is>
          <t>E-011</t>
        </is>
      </c>
      <c r="D6" s="11" t="inlineStr">
        <is>
          <t>Jason Parker</t>
        </is>
      </c>
      <c r="E6" s="11" t="inlineStr">
        <is>
          <t>L. Chen</t>
        </is>
      </c>
      <c r="F6" s="11" t="inlineStr">
        <is>
          <t>Live</t>
        </is>
      </c>
      <c r="G6" s="41" t="n">
        <v>4</v>
      </c>
      <c r="H6" s="41" t="n">
        <v>4</v>
      </c>
      <c r="I6" s="41" t="n">
        <v>4</v>
      </c>
      <c r="J6" s="41" t="n">
        <v>5</v>
      </c>
      <c r="K6" s="41" t="n">
        <v>4</v>
      </c>
      <c r="L6" s="41" t="n">
        <v>4</v>
      </c>
      <c r="M6" s="41" t="n">
        <v>4</v>
      </c>
      <c r="N6" s="44">
        <f>ROUND((G6*0.15+H6*0.15+I6*0.2+J6*0.15+K6*0.1+L6*0.1+M6*0.15)*20,1)</f>
        <v/>
      </c>
      <c r="O6" s="41">
        <f>IF(N6&gt;=80,"Pass","Fail")</f>
        <v/>
      </c>
      <c r="P6" s="41" t="inlineStr">
        <is>
          <t>N</t>
        </is>
      </c>
      <c r="Q6" s="12" t="inlineStr">
        <is>
          <t>Good compliance awareness</t>
        </is>
      </c>
      <c r="R6" s="12" t="inlineStr">
        <is>
          <t>Documentation could be more detailed</t>
        </is>
      </c>
      <c r="S6" s="11" t="inlineStr">
        <is>
          <t>N</t>
        </is>
      </c>
      <c r="T6" s="14" t="inlineStr">
        <is>
          <t>D. Thompson</t>
        </is>
      </c>
    </row>
    <row r="7">
      <c r="A7" s="5" t="inlineStr">
        <is>
          <t>QA-005</t>
        </is>
      </c>
      <c r="B7" s="27" t="n">
        <v>46127</v>
      </c>
      <c r="C7" s="6" t="inlineStr">
        <is>
          <t>E-012</t>
        </is>
      </c>
      <c r="D7" s="6" t="inlineStr">
        <is>
          <t>Carmen Rivera</t>
        </is>
      </c>
      <c r="E7" s="6" t="inlineStr">
        <is>
          <t>L. Chen</t>
        </is>
      </c>
      <c r="F7" s="6" t="inlineStr">
        <is>
          <t>Recorded</t>
        </is>
      </c>
      <c r="G7" s="40" t="n">
        <v>3</v>
      </c>
      <c r="H7" s="40" t="n">
        <v>3</v>
      </c>
      <c r="I7" s="40" t="n">
        <v>3</v>
      </c>
      <c r="J7" s="40" t="n">
        <v>3</v>
      </c>
      <c r="K7" s="40" t="n">
        <v>3</v>
      </c>
      <c r="L7" s="40" t="n">
        <v>3</v>
      </c>
      <c r="M7" s="40" t="n">
        <v>3</v>
      </c>
      <c r="N7" s="43">
        <f>ROUND((G7*0.15+H7*0.15+I7*0.2+J7*0.15+K7*0.1+L7*0.1+M7*0.15)*20,1)</f>
        <v/>
      </c>
      <c r="O7" s="40">
        <f>IF(N7&gt;=80,"Pass","Fail")</f>
        <v/>
      </c>
      <c r="P7" s="40" t="inlineStr">
        <is>
          <t>N</t>
        </is>
      </c>
      <c r="Q7" s="7" t="inlineStr">
        <is>
          <t>Positive attitude</t>
        </is>
      </c>
      <c r="R7" s="7" t="inlineStr">
        <is>
          <t>Multiple areas need improvement</t>
        </is>
      </c>
      <c r="S7" s="6" t="inlineStr">
        <is>
          <t>Y</t>
        </is>
      </c>
      <c r="T7" s="9" t="inlineStr">
        <is>
          <t>D. Thompson</t>
        </is>
      </c>
    </row>
    <row r="8">
      <c r="A8" s="10" t="inlineStr">
        <is>
          <t>QA-006</t>
        </is>
      </c>
      <c r="B8" s="28" t="n">
        <v>46127</v>
      </c>
      <c r="C8" s="11" t="inlineStr">
        <is>
          <t>E-013</t>
        </is>
      </c>
      <c r="D8" s="11" t="inlineStr">
        <is>
          <t>Tran Nguyen</t>
        </is>
      </c>
      <c r="E8" s="11" t="inlineStr">
        <is>
          <t>T. Washington</t>
        </is>
      </c>
      <c r="F8" s="11" t="inlineStr">
        <is>
          <t>Live</t>
        </is>
      </c>
      <c r="G8" s="41" t="n">
        <v>4</v>
      </c>
      <c r="H8" s="41" t="n">
        <v>5</v>
      </c>
      <c r="I8" s="41" t="n">
        <v>4</v>
      </c>
      <c r="J8" s="41" t="n">
        <v>5</v>
      </c>
      <c r="K8" s="41" t="n">
        <v>4</v>
      </c>
      <c r="L8" s="41" t="n">
        <v>4</v>
      </c>
      <c r="M8" s="41" t="n">
        <v>4</v>
      </c>
      <c r="N8" s="44">
        <f>ROUND((G8*0.15+H8*0.15+I8*0.2+J8*0.15+K8*0.1+L8*0.1+M8*0.15)*20,1)</f>
        <v/>
      </c>
      <c r="O8" s="41">
        <f>IF(N8&gt;=80,"Pass","Fail")</f>
        <v/>
      </c>
      <c r="P8" s="41" t="inlineStr">
        <is>
          <t>N</t>
        </is>
      </c>
      <c r="Q8" s="12" t="inlineStr">
        <is>
          <t>Exceptional process adherence</t>
        </is>
      </c>
      <c r="R8" s="12" t="inlineStr">
        <is>
          <t>None noted</t>
        </is>
      </c>
      <c r="S8" s="11" t="inlineStr">
        <is>
          <t>N</t>
        </is>
      </c>
      <c r="T8" s="14" t="inlineStr">
        <is>
          <t>D. Thompson</t>
        </is>
      </c>
    </row>
    <row r="9">
      <c r="A9" s="5" t="inlineStr">
        <is>
          <t>QA-007</t>
        </is>
      </c>
      <c r="B9" s="27" t="n">
        <v>46128</v>
      </c>
      <c r="C9" s="6" t="inlineStr">
        <is>
          <t>E-001</t>
        </is>
      </c>
      <c r="D9" s="6" t="inlineStr">
        <is>
          <t>Maria Santos</t>
        </is>
      </c>
      <c r="E9" s="6" t="inlineStr">
        <is>
          <t>T. Washington</t>
        </is>
      </c>
      <c r="F9" s="6" t="inlineStr">
        <is>
          <t>Screen Share</t>
        </is>
      </c>
      <c r="G9" s="40" t="n">
        <v>5</v>
      </c>
      <c r="H9" s="40" t="n">
        <v>5</v>
      </c>
      <c r="I9" s="40" t="n">
        <v>5</v>
      </c>
      <c r="J9" s="40" t="n">
        <v>4</v>
      </c>
      <c r="K9" s="40" t="n">
        <v>5</v>
      </c>
      <c r="L9" s="40" t="n">
        <v>5</v>
      </c>
      <c r="M9" s="40" t="n">
        <v>4</v>
      </c>
      <c r="N9" s="43">
        <f>ROUND((G9*0.15+H9*0.15+I9*0.2+J9*0.15+K9*0.1+L9*0.1+M9*0.15)*20,1)</f>
        <v/>
      </c>
      <c r="O9" s="40">
        <f>IF(N9&gt;=80,"Pass","Fail")</f>
        <v/>
      </c>
      <c r="P9" s="40" t="inlineStr">
        <is>
          <t>N</t>
        </is>
      </c>
      <c r="Q9" s="7" t="inlineStr">
        <is>
          <t>Outstanding across all categories</t>
        </is>
      </c>
      <c r="R9" s="7" t="inlineStr">
        <is>
          <t>Minor compliance protocol gap</t>
        </is>
      </c>
      <c r="S9" s="6" t="inlineStr">
        <is>
          <t>N</t>
        </is>
      </c>
      <c r="T9" s="9" t="inlineStr">
        <is>
          <t>D. Thompson</t>
        </is>
      </c>
    </row>
    <row r="10">
      <c r="A10" s="10" t="inlineStr">
        <is>
          <t>QA-008</t>
        </is>
      </c>
      <c r="B10" s="28" t="n">
        <v>46128</v>
      </c>
      <c r="C10" s="11" t="inlineStr">
        <is>
          <t>E-003</t>
        </is>
      </c>
      <c r="D10" s="11" t="inlineStr">
        <is>
          <t>Aisha Johnson</t>
        </is>
      </c>
      <c r="E10" s="11" t="inlineStr">
        <is>
          <t>M. Kim</t>
        </is>
      </c>
      <c r="F10" s="11" t="inlineStr">
        <is>
          <t>Live</t>
        </is>
      </c>
      <c r="G10" s="41" t="n">
        <v>5</v>
      </c>
      <c r="H10" s="41" t="n">
        <v>5</v>
      </c>
      <c r="I10" s="41" t="n">
        <v>4</v>
      </c>
      <c r="J10" s="41" t="n">
        <v>5</v>
      </c>
      <c r="K10" s="41" t="n">
        <v>4</v>
      </c>
      <c r="L10" s="41" t="n">
        <v>5</v>
      </c>
      <c r="M10" s="41" t="n">
        <v>5</v>
      </c>
      <c r="N10" s="44">
        <f>ROUND((G10*0.15+H10*0.15+I10*0.2+J10*0.15+K10*0.1+L10*0.1+M10*0.15)*20,1)</f>
        <v/>
      </c>
      <c r="O10" s="41">
        <f>IF(N10&gt;=80,"Pass","Fail")</f>
        <v/>
      </c>
      <c r="P10" s="41" t="inlineStr">
        <is>
          <t>N</t>
        </is>
      </c>
      <c r="Q10" s="12" t="inlineStr">
        <is>
          <t>Deep technical knowledge, excellent documentation</t>
        </is>
      </c>
      <c r="R10" s="12" t="inlineStr">
        <is>
          <t>None</t>
        </is>
      </c>
      <c r="S10" s="11" t="inlineStr">
        <is>
          <t>N</t>
        </is>
      </c>
      <c r="T10" s="14" t="inlineStr">
        <is>
          <t>D. Thompson</t>
        </is>
      </c>
    </row>
    <row r="11">
      <c r="A11" s="5" t="inlineStr">
        <is>
          <t>QA-009</t>
        </is>
      </c>
      <c r="B11" s="27" t="n">
        <v>46128</v>
      </c>
      <c r="C11" s="6" t="inlineStr">
        <is>
          <t>E-005</t>
        </is>
      </c>
      <c r="D11" s="6" t="inlineStr">
        <is>
          <t>Priya Sharma</t>
        </is>
      </c>
      <c r="E11" s="6" t="inlineStr">
        <is>
          <t>L. Chen</t>
        </is>
      </c>
      <c r="F11" s="6" t="inlineStr">
        <is>
          <t>Live</t>
        </is>
      </c>
      <c r="G11" s="40" t="n">
        <v>3</v>
      </c>
      <c r="H11" s="40" t="n">
        <v>3</v>
      </c>
      <c r="I11" s="40" t="n">
        <v>4</v>
      </c>
      <c r="J11" s="40" t="n">
        <v>4</v>
      </c>
      <c r="K11" s="40" t="n">
        <v>3</v>
      </c>
      <c r="L11" s="40" t="n">
        <v>3</v>
      </c>
      <c r="M11" s="40" t="n">
        <v>3</v>
      </c>
      <c r="N11" s="43">
        <f>ROUND((G11*0.15+H11*0.15+I11*0.2+J11*0.15+K11*0.1+L11*0.1+M11*0.15)*20,1)</f>
        <v/>
      </c>
      <c r="O11" s="40">
        <f>IF(N11&gt;=80,"Pass","Fail")</f>
        <v/>
      </c>
      <c r="P11" s="40" t="inlineStr">
        <is>
          <t>N</t>
        </is>
      </c>
      <c r="Q11" s="7" t="inlineStr">
        <is>
          <t>Improved accuracy from last session</t>
        </is>
      </c>
      <c r="R11" s="7" t="inlineStr">
        <is>
          <t>Communication still below standard</t>
        </is>
      </c>
      <c r="S11" s="6" t="inlineStr">
        <is>
          <t>Y</t>
        </is>
      </c>
      <c r="T11" s="9" t="inlineStr">
        <is>
          <t>D. Thompson</t>
        </is>
      </c>
    </row>
    <row r="12">
      <c r="A12" s="10" t="inlineStr">
        <is>
          <t>QA-010</t>
        </is>
      </c>
      <c r="B12" s="28" t="n">
        <v>46129</v>
      </c>
      <c r="C12" s="11" t="inlineStr">
        <is>
          <t>E-014</t>
        </is>
      </c>
      <c r="D12" s="11" t="inlineStr">
        <is>
          <t>Derek Foster</t>
        </is>
      </c>
      <c r="E12" s="11" t="inlineStr">
        <is>
          <t>L. Chen</t>
        </is>
      </c>
      <c r="F12" s="11" t="inlineStr">
        <is>
          <t>Live</t>
        </is>
      </c>
      <c r="G12" s="41" t="n">
        <v>4</v>
      </c>
      <c r="H12" s="41" t="n">
        <v>4</v>
      </c>
      <c r="I12" s="41" t="n">
        <v>4</v>
      </c>
      <c r="J12" s="41" t="n">
        <v>4</v>
      </c>
      <c r="K12" s="41" t="n">
        <v>4</v>
      </c>
      <c r="L12" s="41" t="n">
        <v>3</v>
      </c>
      <c r="M12" s="41" t="n">
        <v>4</v>
      </c>
      <c r="N12" s="44">
        <f>ROUND((G12*0.15+H12*0.15+I12*0.2+J12*0.15+K12*0.1+L12*0.1+M12*0.15)*20,1)</f>
        <v/>
      </c>
      <c r="O12" s="41">
        <f>IF(N12&gt;=80,"Pass","Fail")</f>
        <v/>
      </c>
      <c r="P12" s="41" t="inlineStr">
        <is>
          <t>N</t>
        </is>
      </c>
      <c r="Q12" s="12" t="inlineStr">
        <is>
          <t>Solid foundational skills</t>
        </is>
      </c>
      <c r="R12" s="12" t="inlineStr">
        <is>
          <t>System navigation — new to platform</t>
        </is>
      </c>
      <c r="S12" s="11" t="inlineStr">
        <is>
          <t>Y</t>
        </is>
      </c>
      <c r="T12" s="14" t="inlineStr">
        <is>
          <t>D. Thompson</t>
        </is>
      </c>
    </row>
    <row r="13">
      <c r="A13" s="5" t="inlineStr">
        <is>
          <t>QA-011</t>
        </is>
      </c>
      <c r="B13" s="27" t="n">
        <v>46129</v>
      </c>
      <c r="C13" s="6" t="inlineStr">
        <is>
          <t>E-002</t>
        </is>
      </c>
      <c r="D13" s="6" t="inlineStr">
        <is>
          <t>James Mitchell</t>
        </is>
      </c>
      <c r="E13" s="6" t="inlineStr">
        <is>
          <t>L. Chen</t>
        </is>
      </c>
      <c r="F13" s="6" t="inlineStr">
        <is>
          <t>Recorded</t>
        </is>
      </c>
      <c r="G13" s="40" t="n">
        <v>4</v>
      </c>
      <c r="H13" s="40" t="n">
        <v>4</v>
      </c>
      <c r="I13" s="40" t="n">
        <v>4</v>
      </c>
      <c r="J13" s="40" t="n">
        <v>4</v>
      </c>
      <c r="K13" s="40" t="n">
        <v>4</v>
      </c>
      <c r="L13" s="40" t="n">
        <v>4</v>
      </c>
      <c r="M13" s="40" t="n">
        <v>4</v>
      </c>
      <c r="N13" s="43">
        <f>ROUND((G13*0.15+H13*0.15+I13*0.2+J13*0.15+K13*0.1+L13*0.1+M13*0.15)*20,1)</f>
        <v/>
      </c>
      <c r="O13" s="40">
        <f>IF(N13&gt;=80,"Pass","Fail")</f>
        <v/>
      </c>
      <c r="P13" s="40" t="inlineStr">
        <is>
          <t>N</t>
        </is>
      </c>
      <c r="Q13" s="7" t="inlineStr">
        <is>
          <t>Consistent performance</t>
        </is>
      </c>
      <c r="R13" s="7" t="inlineStr">
        <is>
          <t>None significant</t>
        </is>
      </c>
      <c r="S13" s="6" t="inlineStr">
        <is>
          <t>N</t>
        </is>
      </c>
      <c r="T13" s="9" t="inlineStr">
        <is>
          <t>D. Thompson</t>
        </is>
      </c>
    </row>
    <row r="14">
      <c r="A14" s="10" t="inlineStr">
        <is>
          <t>QA-012</t>
        </is>
      </c>
      <c r="B14" s="28" t="n">
        <v>46129</v>
      </c>
      <c r="C14" s="11" t="inlineStr">
        <is>
          <t>E-012</t>
        </is>
      </c>
      <c r="D14" s="11" t="inlineStr">
        <is>
          <t>Carmen Rivera</t>
        </is>
      </c>
      <c r="E14" s="11" t="inlineStr">
        <is>
          <t>L. Chen</t>
        </is>
      </c>
      <c r="F14" s="11" t="inlineStr">
        <is>
          <t>Screen Share</t>
        </is>
      </c>
      <c r="G14" s="41" t="n">
        <v>3</v>
      </c>
      <c r="H14" s="41" t="n">
        <v>3</v>
      </c>
      <c r="I14" s="41" t="n">
        <v>2</v>
      </c>
      <c r="J14" s="41" t="n">
        <v>3</v>
      </c>
      <c r="K14" s="41" t="n">
        <v>3</v>
      </c>
      <c r="L14" s="41" t="n">
        <v>3</v>
      </c>
      <c r="M14" s="41" t="n">
        <v>3</v>
      </c>
      <c r="N14" s="44">
        <f>ROUND((G14*0.15+H14*0.15+I14*0.2+J14*0.15+K14*0.1+L14*0.1+M14*0.15)*20,1)</f>
        <v/>
      </c>
      <c r="O14" s="41">
        <f>IF(N14&gt;=80,"Pass","Fail")</f>
        <v/>
      </c>
      <c r="P14" s="41" t="inlineStr">
        <is>
          <t>Y</t>
        </is>
      </c>
      <c r="Q14" s="12" t="inlineStr">
        <is>
          <t>Willingness to learn</t>
        </is>
      </c>
      <c r="R14" s="12" t="inlineStr">
        <is>
          <t>Critical accuracy error — wrong case disposition</t>
        </is>
      </c>
      <c r="S14" s="11" t="inlineStr">
        <is>
          <t>Y</t>
        </is>
      </c>
      <c r="T14" s="14" t="inlineStr">
        <is>
          <t>D. Thompson</t>
        </is>
      </c>
    </row>
    <row r="15">
      <c r="A15" s="5" t="inlineStr">
        <is>
          <t>QA-013</t>
        </is>
      </c>
      <c r="B15" s="27" t="n">
        <v>46130</v>
      </c>
      <c r="C15" s="6" t="inlineStr">
        <is>
          <t>E-011</t>
        </is>
      </c>
      <c r="D15" s="6" t="inlineStr">
        <is>
          <t>Jason Parker</t>
        </is>
      </c>
      <c r="E15" s="6" t="inlineStr">
        <is>
          <t>L. Chen</t>
        </is>
      </c>
      <c r="F15" s="6" t="inlineStr">
        <is>
          <t>Live</t>
        </is>
      </c>
      <c r="G15" s="40" t="n">
        <v>4</v>
      </c>
      <c r="H15" s="40" t="n">
        <v>5</v>
      </c>
      <c r="I15" s="40" t="n">
        <v>4</v>
      </c>
      <c r="J15" s="40" t="n">
        <v>5</v>
      </c>
      <c r="K15" s="40" t="n">
        <v>4</v>
      </c>
      <c r="L15" s="40" t="n">
        <v>4</v>
      </c>
      <c r="M15" s="40" t="n">
        <v>5</v>
      </c>
      <c r="N15" s="43">
        <f>ROUND((G15*0.15+H15*0.15+I15*0.2+J15*0.15+K15*0.1+L15*0.1+M15*0.15)*20,1)</f>
        <v/>
      </c>
      <c r="O15" s="40">
        <f>IF(N15&gt;=80,"Pass","Fail")</f>
        <v/>
      </c>
      <c r="P15" s="40" t="inlineStr">
        <is>
          <t>N</t>
        </is>
      </c>
      <c r="Q15" s="7" t="inlineStr">
        <is>
          <t>Strong improvement in documentation</t>
        </is>
      </c>
      <c r="R15" s="7" t="inlineStr">
        <is>
          <t>None</t>
        </is>
      </c>
      <c r="S15" s="6" t="inlineStr">
        <is>
          <t>N</t>
        </is>
      </c>
      <c r="T15" s="9" t="inlineStr">
        <is>
          <t>D. Thompson</t>
        </is>
      </c>
    </row>
    <row r="16">
      <c r="A16" s="10" t="inlineStr">
        <is>
          <t>QA-014</t>
        </is>
      </c>
      <c r="B16" s="28" t="n">
        <v>46130</v>
      </c>
      <c r="C16" s="11" t="inlineStr">
        <is>
          <t>E-019</t>
        </is>
      </c>
      <c r="D16" s="11" t="inlineStr">
        <is>
          <t>Alex Martinez</t>
        </is>
      </c>
      <c r="E16" s="11" t="inlineStr">
        <is>
          <t>T. Washington</t>
        </is>
      </c>
      <c r="F16" s="11" t="inlineStr">
        <is>
          <t>Live</t>
        </is>
      </c>
      <c r="G16" s="41" t="n">
        <v>3</v>
      </c>
      <c r="H16" s="41" t="n">
        <v>3</v>
      </c>
      <c r="I16" s="41" t="n">
        <v>3</v>
      </c>
      <c r="J16" s="41" t="n">
        <v>3</v>
      </c>
      <c r="K16" s="41" t="n">
        <v>3</v>
      </c>
      <c r="L16" s="41" t="n">
        <v>2</v>
      </c>
      <c r="M16" s="41" t="n">
        <v>3</v>
      </c>
      <c r="N16" s="44">
        <f>ROUND((G16*0.15+H16*0.15+I16*0.2+J16*0.15+K16*0.1+L16*0.1+M16*0.15)*20,1)</f>
        <v/>
      </c>
      <c r="O16" s="41">
        <f>IF(N16&gt;=80,"Pass","Fail")</f>
        <v/>
      </c>
      <c r="P16" s="41" t="inlineStr">
        <is>
          <t>Y</t>
        </is>
      </c>
      <c r="Q16" s="12" t="inlineStr">
        <is>
          <t>None notable</t>
        </is>
      </c>
      <c r="R16" s="12" t="inlineStr">
        <is>
          <t>Multiple deficiencies — critical navigation errors</t>
        </is>
      </c>
      <c r="S16" s="11" t="inlineStr">
        <is>
          <t>Y</t>
        </is>
      </c>
      <c r="T16" s="14" t="inlineStr">
        <is>
          <t>D. Thompson</t>
        </is>
      </c>
    </row>
    <row r="17">
      <c r="A17" s="5" t="inlineStr">
        <is>
          <t>QA-015</t>
        </is>
      </c>
      <c r="B17" s="27" t="n">
        <v>46130</v>
      </c>
      <c r="C17" s="6" t="inlineStr">
        <is>
          <t>E-013</t>
        </is>
      </c>
      <c r="D17" s="6" t="inlineStr">
        <is>
          <t>Tran Nguyen</t>
        </is>
      </c>
      <c r="E17" s="6" t="inlineStr">
        <is>
          <t>T. Washington</t>
        </is>
      </c>
      <c r="F17" s="6" t="inlineStr">
        <is>
          <t>Recorded</t>
        </is>
      </c>
      <c r="G17" s="40" t="n">
        <v>5</v>
      </c>
      <c r="H17" s="40" t="n">
        <v>5</v>
      </c>
      <c r="I17" s="40" t="n">
        <v>5</v>
      </c>
      <c r="J17" s="40" t="n">
        <v>5</v>
      </c>
      <c r="K17" s="40" t="n">
        <v>4</v>
      </c>
      <c r="L17" s="40" t="n">
        <v>4</v>
      </c>
      <c r="M17" s="40" t="n">
        <v>4</v>
      </c>
      <c r="N17" s="43">
        <f>ROUND((G17*0.15+H17*0.15+I17*0.2+J17*0.15+K17*0.1+L17*0.1+M17*0.15)*20,1)</f>
        <v/>
      </c>
      <c r="O17" s="40">
        <f>IF(N17&gt;=80,"Pass","Fail")</f>
        <v/>
      </c>
      <c r="P17" s="40" t="inlineStr">
        <is>
          <t>N</t>
        </is>
      </c>
      <c r="Q17" s="7" t="inlineStr">
        <is>
          <t>Consistent high performer</t>
        </is>
      </c>
      <c r="R17" s="7" t="inlineStr">
        <is>
          <t>None</t>
        </is>
      </c>
      <c r="S17" s="6" t="inlineStr">
        <is>
          <t>N</t>
        </is>
      </c>
      <c r="T17" s="9" t="inlineStr">
        <is>
          <t>D. Thompson</t>
        </is>
      </c>
    </row>
    <row r="18">
      <c r="A18" s="10" t="inlineStr">
        <is>
          <t>QA-016</t>
        </is>
      </c>
      <c r="B18" s="28" t="n">
        <v>46131</v>
      </c>
      <c r="C18" s="11" t="inlineStr">
        <is>
          <t>E-001</t>
        </is>
      </c>
      <c r="D18" s="11" t="inlineStr">
        <is>
          <t>Maria Santos</t>
        </is>
      </c>
      <c r="E18" s="11" t="inlineStr">
        <is>
          <t>T. Washington</t>
        </is>
      </c>
      <c r="F18" s="11" t="inlineStr">
        <is>
          <t>Live</t>
        </is>
      </c>
      <c r="G18" s="41" t="n">
        <v>5</v>
      </c>
      <c r="H18" s="41" t="n">
        <v>5</v>
      </c>
      <c r="I18" s="41" t="n">
        <v>5</v>
      </c>
      <c r="J18" s="41" t="n">
        <v>5</v>
      </c>
      <c r="K18" s="41" t="n">
        <v>5</v>
      </c>
      <c r="L18" s="41" t="n">
        <v>5</v>
      </c>
      <c r="M18" s="41" t="n">
        <v>4</v>
      </c>
      <c r="N18" s="44">
        <f>ROUND((G18*0.15+H18*0.15+I18*0.2+J18*0.15+K18*0.1+L18*0.1+M18*0.15)*20,1)</f>
        <v/>
      </c>
      <c r="O18" s="41">
        <f>IF(N18&gt;=80,"Pass","Fail")</f>
        <v/>
      </c>
      <c r="P18" s="41" t="inlineStr">
        <is>
          <t>N</t>
        </is>
      </c>
      <c r="Q18" s="12" t="inlineStr">
        <is>
          <t>Role model performance</t>
        </is>
      </c>
      <c r="R18" s="12" t="inlineStr">
        <is>
          <t>None</t>
        </is>
      </c>
      <c r="S18" s="11" t="inlineStr">
        <is>
          <t>N</t>
        </is>
      </c>
      <c r="T18" s="14" t="inlineStr">
        <is>
          <t>D. Thompson</t>
        </is>
      </c>
    </row>
    <row r="19">
      <c r="A19" s="5" t="inlineStr">
        <is>
          <t>QA-017</t>
        </is>
      </c>
      <c r="B19" s="27" t="n">
        <v>46131</v>
      </c>
      <c r="C19" s="6" t="inlineStr">
        <is>
          <t>E-006</t>
        </is>
      </c>
      <c r="D19" s="6" t="inlineStr">
        <is>
          <t>David Thompson</t>
        </is>
      </c>
      <c r="E19" s="6" t="inlineStr">
        <is>
          <t>M. Kim</t>
        </is>
      </c>
      <c r="F19" s="6" t="inlineStr">
        <is>
          <t>Live</t>
        </is>
      </c>
      <c r="G19" s="40" t="n">
        <v>5</v>
      </c>
      <c r="H19" s="40" t="n">
        <v>5</v>
      </c>
      <c r="I19" s="40" t="n">
        <v>5</v>
      </c>
      <c r="J19" s="40" t="n">
        <v>5</v>
      </c>
      <c r="K19" s="40" t="n">
        <v>5</v>
      </c>
      <c r="L19" s="40" t="n">
        <v>4</v>
      </c>
      <c r="M19" s="40" t="n">
        <v>5</v>
      </c>
      <c r="N19" s="43">
        <f>ROUND((G19*0.15+H19*0.15+I19*0.2+J19*0.15+K19*0.1+L19*0.1+M19*0.15)*20,1)</f>
        <v/>
      </c>
      <c r="O19" s="40">
        <f>IF(N19&gt;=80,"Pass","Fail")</f>
        <v/>
      </c>
      <c r="P19" s="40" t="inlineStr">
        <is>
          <t>N</t>
        </is>
      </c>
      <c r="Q19" s="7" t="inlineStr">
        <is>
          <t>QA expertise evident in own work</t>
        </is>
      </c>
      <c r="R19" s="7" t="inlineStr">
        <is>
          <t>None</t>
        </is>
      </c>
      <c r="S19" s="6" t="inlineStr">
        <is>
          <t>N</t>
        </is>
      </c>
      <c r="T19" s="9" t="inlineStr">
        <is>
          <t>QA Lead</t>
        </is>
      </c>
    </row>
    <row r="20">
      <c r="A20" s="10" t="inlineStr">
        <is>
          <t>QA-018</t>
        </is>
      </c>
      <c r="B20" s="28" t="n">
        <v>46131</v>
      </c>
      <c r="C20" s="11" t="inlineStr">
        <is>
          <t>E-005</t>
        </is>
      </c>
      <c r="D20" s="11" t="inlineStr">
        <is>
          <t>Priya Sharma</t>
        </is>
      </c>
      <c r="E20" s="11" t="inlineStr">
        <is>
          <t>L. Chen</t>
        </is>
      </c>
      <c r="F20" s="11" t="inlineStr">
        <is>
          <t>Screen Share</t>
        </is>
      </c>
      <c r="G20" s="41" t="n">
        <v>4</v>
      </c>
      <c r="H20" s="41" t="n">
        <v>3</v>
      </c>
      <c r="I20" s="41" t="n">
        <v>4</v>
      </c>
      <c r="J20" s="41" t="n">
        <v>4</v>
      </c>
      <c r="K20" s="41" t="n">
        <v>3</v>
      </c>
      <c r="L20" s="41" t="n">
        <v>3</v>
      </c>
      <c r="M20" s="41" t="n">
        <v>3</v>
      </c>
      <c r="N20" s="44">
        <f>ROUND((G20*0.15+H20*0.15+I20*0.2+J20*0.15+K20*0.1+L20*0.1+M20*0.15)*20,1)</f>
        <v/>
      </c>
      <c r="O20" s="41">
        <f>IF(N20&gt;=80,"Pass","Fail")</f>
        <v/>
      </c>
      <c r="P20" s="41" t="inlineStr">
        <is>
          <t>N</t>
        </is>
      </c>
      <c r="Q20" s="12" t="inlineStr">
        <is>
          <t>Accuracy improving</t>
        </is>
      </c>
      <c r="R20" s="12" t="inlineStr">
        <is>
          <t>Communication and navigation still lag</t>
        </is>
      </c>
      <c r="S20" s="11" t="inlineStr">
        <is>
          <t>Y</t>
        </is>
      </c>
      <c r="T20" s="14" t="inlineStr">
        <is>
          <t>D. Thompson</t>
        </is>
      </c>
    </row>
    <row r="21">
      <c r="A21" s="5" t="inlineStr">
        <is>
          <t>QA-019</t>
        </is>
      </c>
      <c r="B21" s="27" t="n">
        <v>46131</v>
      </c>
      <c r="C21" s="6" t="inlineStr">
        <is>
          <t>E-012</t>
        </is>
      </c>
      <c r="D21" s="6" t="inlineStr">
        <is>
          <t>Carmen Rivera</t>
        </is>
      </c>
      <c r="E21" s="6" t="inlineStr">
        <is>
          <t>L. Chen</t>
        </is>
      </c>
      <c r="F21" s="6" t="inlineStr">
        <is>
          <t>Live</t>
        </is>
      </c>
      <c r="G21" s="40" t="n">
        <v>3</v>
      </c>
      <c r="H21" s="40" t="n">
        <v>3</v>
      </c>
      <c r="I21" s="40" t="n">
        <v>3</v>
      </c>
      <c r="J21" s="40" t="n">
        <v>3</v>
      </c>
      <c r="K21" s="40" t="n">
        <v>3</v>
      </c>
      <c r="L21" s="40" t="n">
        <v>3</v>
      </c>
      <c r="M21" s="40" t="n">
        <v>2</v>
      </c>
      <c r="N21" s="43">
        <f>ROUND((G21*0.15+H21*0.15+I21*0.2+J21*0.15+K21*0.1+L21*0.1+M21*0.15)*20,1)</f>
        <v/>
      </c>
      <c r="O21" s="40">
        <f>IF(N21&gt;=80,"Pass","Fail")</f>
        <v/>
      </c>
      <c r="P21" s="40" t="inlineStr">
        <is>
          <t>N</t>
        </is>
      </c>
      <c r="Q21" s="7" t="inlineStr">
        <is>
          <t>Slight improvement post-coaching</t>
        </is>
      </c>
      <c r="R21" s="7" t="inlineStr">
        <is>
          <t>Documentation deficient — needs template</t>
        </is>
      </c>
      <c r="S21" s="6" t="inlineStr">
        <is>
          <t>Y</t>
        </is>
      </c>
      <c r="T21" s="9" t="inlineStr">
        <is>
          <t>D. Thompson</t>
        </is>
      </c>
    </row>
    <row r="22">
      <c r="A22" s="10" t="inlineStr">
        <is>
          <t>QA-020</t>
        </is>
      </c>
      <c r="B22" s="28" t="n">
        <v>46132</v>
      </c>
      <c r="C22" s="11" t="inlineStr">
        <is>
          <t>E-002</t>
        </is>
      </c>
      <c r="D22" s="11" t="inlineStr">
        <is>
          <t>James Mitchell</t>
        </is>
      </c>
      <c r="E22" s="11" t="inlineStr">
        <is>
          <t>L. Chen</t>
        </is>
      </c>
      <c r="F22" s="11" t="inlineStr">
        <is>
          <t>Live</t>
        </is>
      </c>
      <c r="G22" s="41" t="n">
        <v>4</v>
      </c>
      <c r="H22" s="41" t="n">
        <v>4</v>
      </c>
      <c r="I22" s="41" t="n">
        <v>5</v>
      </c>
      <c r="J22" s="41" t="n">
        <v>4</v>
      </c>
      <c r="K22" s="41" t="n">
        <v>4</v>
      </c>
      <c r="L22" s="41" t="n">
        <v>4</v>
      </c>
      <c r="M22" s="41" t="n">
        <v>4</v>
      </c>
      <c r="N22" s="44">
        <f>ROUND((G22*0.15+H22*0.15+I22*0.2+J22*0.15+K22*0.1+L22*0.1+M22*0.15)*20,1)</f>
        <v/>
      </c>
      <c r="O22" s="41">
        <f>IF(N22&gt;=80,"Pass","Fail")</f>
        <v/>
      </c>
      <c r="P22" s="41" t="inlineStr">
        <is>
          <t>N</t>
        </is>
      </c>
      <c r="Q22" s="12" t="inlineStr">
        <is>
          <t>Improved accuracy significantly</t>
        </is>
      </c>
      <c r="R22" s="12" t="inlineStr">
        <is>
          <t>None</t>
        </is>
      </c>
      <c r="S22" s="11" t="inlineStr">
        <is>
          <t>N</t>
        </is>
      </c>
      <c r="T22" s="14" t="inlineStr">
        <is>
          <t>D. Thompson</t>
        </is>
      </c>
    </row>
    <row r="23">
      <c r="A23" s="5" t="inlineStr">
        <is>
          <t>QA-021</t>
        </is>
      </c>
      <c r="B23" s="27" t="n">
        <v>46132</v>
      </c>
      <c r="C23" s="6" t="inlineStr">
        <is>
          <t>E-011</t>
        </is>
      </c>
      <c r="D23" s="6" t="inlineStr">
        <is>
          <t>Jason Parker</t>
        </is>
      </c>
      <c r="E23" s="6" t="inlineStr">
        <is>
          <t>L. Chen</t>
        </is>
      </c>
      <c r="F23" s="6" t="inlineStr">
        <is>
          <t>Recorded</t>
        </is>
      </c>
      <c r="G23" s="40" t="n">
        <v>5</v>
      </c>
      <c r="H23" s="40" t="n">
        <v>5</v>
      </c>
      <c r="I23" s="40" t="n">
        <v>4</v>
      </c>
      <c r="J23" s="40" t="n">
        <v>5</v>
      </c>
      <c r="K23" s="40" t="n">
        <v>4</v>
      </c>
      <c r="L23" s="40" t="n">
        <v>4</v>
      </c>
      <c r="M23" s="40" t="n">
        <v>5</v>
      </c>
      <c r="N23" s="43">
        <f>ROUND((G23*0.15+H23*0.15+I23*0.2+J23*0.15+K23*0.1+L23*0.1+M23*0.15)*20,1)</f>
        <v/>
      </c>
      <c r="O23" s="40">
        <f>IF(N23&gt;=80,"Pass","Fail")</f>
        <v/>
      </c>
      <c r="P23" s="40" t="inlineStr">
        <is>
          <t>N</t>
        </is>
      </c>
      <c r="Q23" s="7" t="inlineStr">
        <is>
          <t>Top performer in cohort</t>
        </is>
      </c>
      <c r="R23" s="7" t="inlineStr">
        <is>
          <t>None</t>
        </is>
      </c>
      <c r="S23" s="6" t="inlineStr">
        <is>
          <t>N</t>
        </is>
      </c>
      <c r="T23" s="9" t="inlineStr">
        <is>
          <t>D. Thompson</t>
        </is>
      </c>
    </row>
    <row r="24">
      <c r="A24" s="10" t="inlineStr">
        <is>
          <t>QA-022</t>
        </is>
      </c>
      <c r="B24" s="28" t="n">
        <v>46132</v>
      </c>
      <c r="C24" s="11" t="inlineStr">
        <is>
          <t>E-014</t>
        </is>
      </c>
      <c r="D24" s="11" t="inlineStr">
        <is>
          <t>Derek Foster</t>
        </is>
      </c>
      <c r="E24" s="11" t="inlineStr">
        <is>
          <t>L. Chen</t>
        </is>
      </c>
      <c r="F24" s="11" t="inlineStr">
        <is>
          <t>Screen Share</t>
        </is>
      </c>
      <c r="G24" s="41" t="n">
        <v>4</v>
      </c>
      <c r="H24" s="41" t="n">
        <v>4</v>
      </c>
      <c r="I24" s="41" t="n">
        <v>4</v>
      </c>
      <c r="J24" s="41" t="n">
        <v>4</v>
      </c>
      <c r="K24" s="41" t="n">
        <v>4</v>
      </c>
      <c r="L24" s="41" t="n">
        <v>4</v>
      </c>
      <c r="M24" s="41" t="n">
        <v>4</v>
      </c>
      <c r="N24" s="44">
        <f>ROUND((G24*0.15+H24*0.15+I24*0.2+J24*0.15+K24*0.1+L24*0.1+M24*0.15)*20,1)</f>
        <v/>
      </c>
      <c r="O24" s="41">
        <f>IF(N24&gt;=80,"Pass","Fail")</f>
        <v/>
      </c>
      <c r="P24" s="41" t="inlineStr">
        <is>
          <t>N</t>
        </is>
      </c>
      <c r="Q24" s="12" t="inlineStr">
        <is>
          <t>Consistent solid performance</t>
        </is>
      </c>
      <c r="R24" s="12" t="inlineStr">
        <is>
          <t>None significant</t>
        </is>
      </c>
      <c r="S24" s="11" t="inlineStr">
        <is>
          <t>N</t>
        </is>
      </c>
      <c r="T24" s="14" t="inlineStr">
        <is>
          <t>D. Thompson</t>
        </is>
      </c>
    </row>
    <row r="25">
      <c r="A25" s="5" t="inlineStr">
        <is>
          <t>QA-023</t>
        </is>
      </c>
      <c r="B25" s="27" t="n">
        <v>46132</v>
      </c>
      <c r="C25" s="6" t="inlineStr">
        <is>
          <t>E-015</t>
        </is>
      </c>
      <c r="D25" s="6" t="inlineStr">
        <is>
          <t>Susan Kim</t>
        </is>
      </c>
      <c r="E25" s="6" t="inlineStr">
        <is>
          <t>M. Kim</t>
        </is>
      </c>
      <c r="F25" s="6" t="inlineStr">
        <is>
          <t>Live</t>
        </is>
      </c>
      <c r="G25" s="40" t="n">
        <v>5</v>
      </c>
      <c r="H25" s="40" t="n">
        <v>4</v>
      </c>
      <c r="I25" s="40" t="n">
        <v>5</v>
      </c>
      <c r="J25" s="40" t="n">
        <v>5</v>
      </c>
      <c r="K25" s="40" t="n">
        <v>4</v>
      </c>
      <c r="L25" s="40" t="n">
        <v>5</v>
      </c>
      <c r="M25" s="40" t="n">
        <v>4</v>
      </c>
      <c r="N25" s="43">
        <f>ROUND((G25*0.15+H25*0.15+I25*0.2+J25*0.15+K25*0.1+L25*0.1+M25*0.15)*20,1)</f>
        <v/>
      </c>
      <c r="O25" s="40">
        <f>IF(N25&gt;=80,"Pass","Fail")</f>
        <v/>
      </c>
      <c r="P25" s="40" t="inlineStr">
        <is>
          <t>N</t>
        </is>
      </c>
      <c r="Q25" s="7" t="inlineStr">
        <is>
          <t>Excellent training methodology</t>
        </is>
      </c>
      <c r="R25" s="7" t="inlineStr">
        <is>
          <t>None</t>
        </is>
      </c>
      <c r="S25" s="6" t="inlineStr">
        <is>
          <t>N</t>
        </is>
      </c>
      <c r="T25" s="9" t="inlineStr">
        <is>
          <t>D. Thompson</t>
        </is>
      </c>
    </row>
    <row r="26">
      <c r="A26" s="10" t="inlineStr">
        <is>
          <t>QA-024</t>
        </is>
      </c>
      <c r="B26" s="28" t="n">
        <v>46132</v>
      </c>
      <c r="C26" s="11" t="inlineStr">
        <is>
          <t>E-003</t>
        </is>
      </c>
      <c r="D26" s="11" t="inlineStr">
        <is>
          <t>Aisha Johnson</t>
        </is>
      </c>
      <c r="E26" s="11" t="inlineStr">
        <is>
          <t>M. Kim</t>
        </is>
      </c>
      <c r="F26" s="11" t="inlineStr">
        <is>
          <t>Recorded</t>
        </is>
      </c>
      <c r="G26" s="41" t="n">
        <v>5</v>
      </c>
      <c r="H26" s="41" t="n">
        <v>5</v>
      </c>
      <c r="I26" s="41" t="n">
        <v>5</v>
      </c>
      <c r="J26" s="41" t="n">
        <v>5</v>
      </c>
      <c r="K26" s="41" t="n">
        <v>4</v>
      </c>
      <c r="L26" s="41" t="n">
        <v>5</v>
      </c>
      <c r="M26" s="41" t="n">
        <v>5</v>
      </c>
      <c r="N26" s="44">
        <f>ROUND((G26*0.15+H26*0.15+I26*0.2+J26*0.15+K26*0.1+L26*0.1+M26*0.15)*20,1)</f>
        <v/>
      </c>
      <c r="O26" s="41">
        <f>IF(N26&gt;=80,"Pass","Fail")</f>
        <v/>
      </c>
      <c r="P26" s="41" t="inlineStr">
        <is>
          <t>N</t>
        </is>
      </c>
      <c r="Q26" s="12" t="inlineStr">
        <is>
          <t>Consistent excellence</t>
        </is>
      </c>
      <c r="R26" s="12" t="inlineStr">
        <is>
          <t>None</t>
        </is>
      </c>
      <c r="S26" s="11" t="inlineStr">
        <is>
          <t>N</t>
        </is>
      </c>
      <c r="T26" s="14" t="inlineStr">
        <is>
          <t>D. Thompson</t>
        </is>
      </c>
    </row>
    <row r="27">
      <c r="A27" s="15" t="inlineStr">
        <is>
          <t>QA-025</t>
        </is>
      </c>
      <c r="B27" s="29" t="n">
        <v>46132</v>
      </c>
      <c r="C27" s="16" t="inlineStr">
        <is>
          <t>E-013</t>
        </is>
      </c>
      <c r="D27" s="16" t="inlineStr">
        <is>
          <t>Tran Nguyen</t>
        </is>
      </c>
      <c r="E27" s="16" t="inlineStr">
        <is>
          <t>T. Washington</t>
        </is>
      </c>
      <c r="F27" s="16" t="inlineStr">
        <is>
          <t>Live</t>
        </is>
      </c>
      <c r="G27" s="42" t="n">
        <v>5</v>
      </c>
      <c r="H27" s="42" t="n">
        <v>5</v>
      </c>
      <c r="I27" s="42" t="n">
        <v>5</v>
      </c>
      <c r="J27" s="42" t="n">
        <v>5</v>
      </c>
      <c r="K27" s="42" t="n">
        <v>5</v>
      </c>
      <c r="L27" s="42" t="n">
        <v>4</v>
      </c>
      <c r="M27" s="42" t="n">
        <v>5</v>
      </c>
      <c r="N27" s="45">
        <f>ROUND((G27*0.15+H27*0.15+I27*0.2+J27*0.15+K27*0.1+L27*0.1+M27*0.15)*20,1)</f>
        <v/>
      </c>
      <c r="O27" s="42">
        <f>IF(N27&gt;=80,"Pass","Fail")</f>
        <v/>
      </c>
      <c r="P27" s="42" t="inlineStr">
        <is>
          <t>N</t>
        </is>
      </c>
      <c r="Q27" s="17" t="inlineStr">
        <is>
          <t>Exceptional — ready for advanced tasks</t>
        </is>
      </c>
      <c r="R27" s="17" t="inlineStr">
        <is>
          <t>None</t>
        </is>
      </c>
      <c r="S27" s="16" t="inlineStr">
        <is>
          <t>N</t>
        </is>
      </c>
      <c r="T27" s="19" t="inlineStr">
        <is>
          <t>D. Thompson</t>
        </is>
      </c>
    </row>
  </sheetData>
  <mergeCells count="1">
    <mergeCell ref="A1:T1"/>
  </mergeCells>
  <dataValidations count="4">
    <dataValidation sqref="F3:F27" showDropDown="0" showInputMessage="0" showErrorMessage="0" allowBlank="1" type="list">
      <formula1>"Live,Recorded,Screen Share"</formula1>
    </dataValidation>
    <dataValidation sqref="G3:M27" showDropDown="0" showInputMessage="0" showErrorMessage="1" allowBlank="1" error="Score must be 1-5" type="whole" operator="between">
      <formula1>1</formula1>
      <formula2>5</formula2>
    </dataValidation>
    <dataValidation sqref="P3:P27" showDropDown="0" showInputMessage="0" showErrorMessage="0" allowBlank="1" type="list">
      <formula1>"Y,N"</formula1>
    </dataValidation>
    <dataValidation sqref="S3:S2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22" customWidth="1" min="8" max="8"/>
    <col width="22" customWidth="1" min="9" max="9"/>
  </cols>
  <sheetData>
    <row r="1" ht="30" customHeight="1">
      <c r="A1" s="1" t="inlineStr">
        <is>
          <t>COMPLIANCE CHECKLIST — Security &amp; Operations</t>
        </is>
      </c>
    </row>
    <row r="2" ht="30" customHeight="1">
      <c r="A2" s="2" t="inlineStr">
        <is>
          <t>Item #</t>
        </is>
      </c>
      <c r="B2" s="3" t="inlineStr">
        <is>
          <t>Category</t>
        </is>
      </c>
      <c r="C2" s="3" t="inlineStr">
        <is>
          <t>Requirement</t>
        </is>
      </c>
      <c r="D2" s="3" t="inlineStr">
        <is>
          <t>Responsible Party</t>
        </is>
      </c>
      <c r="E2" s="3" t="inlineStr">
        <is>
          <t>Due Date</t>
        </is>
      </c>
      <c r="F2" s="3" t="inlineStr">
        <is>
          <t>Completion Date</t>
        </is>
      </c>
      <c r="G2" s="3" t="inlineStr">
        <is>
          <t>Status</t>
        </is>
      </c>
      <c r="H2" s="3" t="inlineStr">
        <is>
          <t>Evidence</t>
        </is>
      </c>
      <c r="I2" s="4" t="inlineStr">
        <is>
          <t>Notes</t>
        </is>
      </c>
    </row>
    <row r="3">
      <c r="A3" s="5" t="inlineStr">
        <is>
          <t>CC-001</t>
        </is>
      </c>
      <c r="B3" s="6" t="inlineStr">
        <is>
          <t>NIST 800-171</t>
        </is>
      </c>
      <c r="C3" s="7" t="inlineStr">
        <is>
          <t>Implement access control policies per NIST 800-171 AC family</t>
        </is>
      </c>
      <c r="D3" s="6" t="inlineStr">
        <is>
          <t>FSO/Security</t>
        </is>
      </c>
      <c r="E3" s="27" t="n">
        <v>46127</v>
      </c>
      <c r="F3" s="27" t="n">
        <v>46126</v>
      </c>
      <c r="G3" s="6" t="inlineStr">
        <is>
          <t>Complete</t>
        </is>
      </c>
      <c r="H3" s="7" t="inlineStr">
        <is>
          <t>Policy document v2.1</t>
        </is>
      </c>
      <c r="I3" s="62" t="inlineStr"/>
    </row>
    <row r="4">
      <c r="A4" s="10" t="inlineStr">
        <is>
          <t>CC-002</t>
        </is>
      </c>
      <c r="B4" s="11" t="inlineStr">
        <is>
          <t>CUI Handling</t>
        </is>
      </c>
      <c r="C4" s="12" t="inlineStr">
        <is>
          <t>Establish CUI marking and handling procedures for remote workforce</t>
        </is>
      </c>
      <c r="D4" s="11" t="inlineStr">
        <is>
          <t>FSO/Security</t>
        </is>
      </c>
      <c r="E4" s="28" t="n">
        <v>46122</v>
      </c>
      <c r="F4" s="28" t="n">
        <v>46121</v>
      </c>
      <c r="G4" s="11" t="inlineStr">
        <is>
          <t>Complete</t>
        </is>
      </c>
      <c r="H4" s="12" t="inlineStr">
        <is>
          <t>CUI SOP approved</t>
        </is>
      </c>
      <c r="I4" s="63" t="inlineStr"/>
    </row>
    <row r="5">
      <c r="A5" s="5" t="inlineStr">
        <is>
          <t>CC-003</t>
        </is>
      </c>
      <c r="B5" s="6" t="inlineStr">
        <is>
          <t>Workspace</t>
        </is>
      </c>
      <c r="C5" s="7" t="inlineStr">
        <is>
          <t>Collect remote workspace attestation forms from all employees</t>
        </is>
      </c>
      <c r="D5" s="6" t="inlineStr">
        <is>
          <t>IT Lead</t>
        </is>
      </c>
      <c r="E5" s="27" t="n">
        <v>46132</v>
      </c>
      <c r="F5" s="27" t="n">
        <v>46130</v>
      </c>
      <c r="G5" s="6" t="inlineStr">
        <is>
          <t>Complete</t>
        </is>
      </c>
      <c r="H5" s="7" t="inlineStr">
        <is>
          <t>Attestation forms on file</t>
        </is>
      </c>
      <c r="I5" s="62" t="inlineStr">
        <is>
          <t>2 pending</t>
        </is>
      </c>
    </row>
    <row r="6">
      <c r="A6" s="10" t="inlineStr">
        <is>
          <t>CC-004</t>
        </is>
      </c>
      <c r="B6" s="11" t="inlineStr">
        <is>
          <t>VPN</t>
        </is>
      </c>
      <c r="C6" s="12" t="inlineStr">
        <is>
          <t>Configure split-tunnel VPN prohibition — all traffic through agency VPN</t>
        </is>
      </c>
      <c r="D6" s="11" t="inlineStr">
        <is>
          <t>IT Lead</t>
        </is>
      </c>
      <c r="E6" s="28" t="n">
        <v>46120</v>
      </c>
      <c r="F6" s="28" t="n">
        <v>46120</v>
      </c>
      <c r="G6" s="11" t="inlineStr">
        <is>
          <t>Complete</t>
        </is>
      </c>
      <c r="H6" s="12" t="inlineStr">
        <is>
          <t>VPN config audit report</t>
        </is>
      </c>
      <c r="I6" s="63" t="inlineStr"/>
    </row>
    <row r="7">
      <c r="A7" s="5" t="inlineStr">
        <is>
          <t>CC-005</t>
        </is>
      </c>
      <c r="B7" s="6" t="inlineStr">
        <is>
          <t>Endpoint Protection</t>
        </is>
      </c>
      <c r="C7" s="7" t="inlineStr">
        <is>
          <t>Deploy EDR/endpoint protection on all government-furnished equipment</t>
        </is>
      </c>
      <c r="D7" s="6" t="inlineStr">
        <is>
          <t>IT Lead</t>
        </is>
      </c>
      <c r="E7" s="27" t="n">
        <v>46124</v>
      </c>
      <c r="F7" s="27" t="n">
        <v>46123</v>
      </c>
      <c r="G7" s="6" t="inlineStr">
        <is>
          <t>Complete</t>
        </is>
      </c>
      <c r="H7" s="7" t="inlineStr">
        <is>
          <t>EDR deployment report</t>
        </is>
      </c>
      <c r="I7" s="62" t="inlineStr">
        <is>
          <t>CrowdStrike deployed</t>
        </is>
      </c>
    </row>
    <row r="8">
      <c r="A8" s="10" t="inlineStr">
        <is>
          <t>CC-006</t>
        </is>
      </c>
      <c r="B8" s="11" t="inlineStr">
        <is>
          <t>Security Training</t>
        </is>
      </c>
      <c r="C8" s="12" t="inlineStr">
        <is>
          <t>Complete annual security awareness training for all personnel</t>
        </is>
      </c>
      <c r="D8" s="11" t="inlineStr">
        <is>
          <t>Training Lead</t>
        </is>
      </c>
      <c r="E8" s="28" t="n">
        <v>46127</v>
      </c>
      <c r="F8" s="28" t="n">
        <v>46126</v>
      </c>
      <c r="G8" s="11" t="inlineStr">
        <is>
          <t>Complete</t>
        </is>
      </c>
      <c r="H8" s="12" t="inlineStr">
        <is>
          <t>LMS completion records</t>
        </is>
      </c>
      <c r="I8" s="63" t="inlineStr">
        <is>
          <t>100% Cohort 1</t>
        </is>
      </c>
    </row>
    <row r="9">
      <c r="A9" s="5" t="inlineStr">
        <is>
          <t>CC-007</t>
        </is>
      </c>
      <c r="B9" s="6" t="inlineStr">
        <is>
          <t>SF-312</t>
        </is>
      </c>
      <c r="C9" s="7" t="inlineStr">
        <is>
          <t>Execute SF-312 Non-Disclosure Agreements for all cleared personnel</t>
        </is>
      </c>
      <c r="D9" s="6" t="inlineStr">
        <is>
          <t>FSO/Security</t>
        </is>
      </c>
      <c r="E9" s="27" t="n">
        <v>46124</v>
      </c>
      <c r="F9" s="27" t="n">
        <v>46124</v>
      </c>
      <c r="G9" s="6" t="inlineStr">
        <is>
          <t>Complete</t>
        </is>
      </c>
      <c r="H9" s="7" t="inlineStr">
        <is>
          <t>Signed SF-312s on file</t>
        </is>
      </c>
      <c r="I9" s="62" t="inlineStr"/>
    </row>
    <row r="10">
      <c r="A10" s="10" t="inlineStr">
        <is>
          <t>CC-008</t>
        </is>
      </c>
      <c r="B10" s="11" t="inlineStr">
        <is>
          <t>Incident Reporting</t>
        </is>
      </c>
      <c r="C10" s="12" t="inlineStr">
        <is>
          <t>Establish security incident reporting procedures and POC list</t>
        </is>
      </c>
      <c r="D10" s="11" t="inlineStr">
        <is>
          <t>FSO/Security</t>
        </is>
      </c>
      <c r="E10" s="28" t="n">
        <v>46120</v>
      </c>
      <c r="F10" s="28" t="n">
        <v>46119</v>
      </c>
      <c r="G10" s="11" t="inlineStr">
        <is>
          <t>Complete</t>
        </is>
      </c>
      <c r="H10" s="12" t="inlineStr">
        <is>
          <t>Incident response plan v1.0</t>
        </is>
      </c>
      <c r="I10" s="63" t="inlineStr"/>
    </row>
    <row r="11">
      <c r="A11" s="5" t="inlineStr">
        <is>
          <t>CC-009</t>
        </is>
      </c>
      <c r="B11" s="6" t="inlineStr">
        <is>
          <t>MFA</t>
        </is>
      </c>
      <c r="C11" s="7" t="inlineStr">
        <is>
          <t>Enforce multi-factor authentication on all system access</t>
        </is>
      </c>
      <c r="D11" s="6" t="inlineStr">
        <is>
          <t>IT Lead</t>
        </is>
      </c>
      <c r="E11" s="27" t="n">
        <v>46122</v>
      </c>
      <c r="F11" s="27" t="n">
        <v>46122</v>
      </c>
      <c r="G11" s="6" t="inlineStr">
        <is>
          <t>Complete</t>
        </is>
      </c>
      <c r="H11" s="7" t="inlineStr">
        <is>
          <t>MFA audit log</t>
        </is>
      </c>
      <c r="I11" s="62" t="inlineStr">
        <is>
          <t>PIV + PIN enforced</t>
        </is>
      </c>
    </row>
    <row r="12">
      <c r="A12" s="10" t="inlineStr">
        <is>
          <t>CC-010</t>
        </is>
      </c>
      <c r="B12" s="11" t="inlineStr">
        <is>
          <t>CAC/PIV</t>
        </is>
      </c>
      <c r="C12" s="12" t="inlineStr">
        <is>
          <t>Issue CAC/PIV cards to all personnel requiring system access</t>
        </is>
      </c>
      <c r="D12" s="11" t="inlineStr">
        <is>
          <t>FSO/Security</t>
        </is>
      </c>
      <c r="E12" s="28" t="n">
        <v>46132</v>
      </c>
      <c r="F12" s="28" t="n"/>
      <c r="G12" s="11" t="inlineStr">
        <is>
          <t>In Progress</t>
        </is>
      </c>
      <c r="H12" s="12" t="inlineStr"/>
      <c r="I12" s="63" t="inlineStr">
        <is>
          <t>3 pending enrollment</t>
        </is>
      </c>
    </row>
    <row r="13">
      <c r="A13" s="5" t="inlineStr">
        <is>
          <t>CC-011</t>
        </is>
      </c>
      <c r="B13" s="6" t="inlineStr">
        <is>
          <t>SAAR Forms</t>
        </is>
      </c>
      <c r="C13" s="7" t="inlineStr">
        <is>
          <t>Submit System Authorization Access Request forms for all users</t>
        </is>
      </c>
      <c r="D13" s="6" t="inlineStr">
        <is>
          <t>FSO/Security</t>
        </is>
      </c>
      <c r="E13" s="27" t="n">
        <v>46127</v>
      </c>
      <c r="F13" s="27" t="n">
        <v>46126</v>
      </c>
      <c r="G13" s="6" t="inlineStr">
        <is>
          <t>Complete</t>
        </is>
      </c>
      <c r="H13" s="7" t="inlineStr">
        <is>
          <t>SAAR tracking log</t>
        </is>
      </c>
      <c r="I13" s="62" t="inlineStr"/>
    </row>
    <row r="14">
      <c r="A14" s="10" t="inlineStr">
        <is>
          <t>CC-012</t>
        </is>
      </c>
      <c r="B14" s="11" t="inlineStr">
        <is>
          <t>Removable Media</t>
        </is>
      </c>
      <c r="C14" s="12" t="inlineStr">
        <is>
          <t>Implement removable media prohibition policy on all endpoints</t>
        </is>
      </c>
      <c r="D14" s="11" t="inlineStr">
        <is>
          <t>IT Lead</t>
        </is>
      </c>
      <c r="E14" s="28" t="n">
        <v>46124</v>
      </c>
      <c r="F14" s="28" t="n">
        <v>46123</v>
      </c>
      <c r="G14" s="11" t="inlineStr">
        <is>
          <t>Complete</t>
        </is>
      </c>
      <c r="H14" s="12" t="inlineStr">
        <is>
          <t>GPO configuration report</t>
        </is>
      </c>
      <c r="I14" s="63" t="inlineStr">
        <is>
          <t>USB ports disabled</t>
        </is>
      </c>
    </row>
    <row r="15">
      <c r="A15" s="5" t="inlineStr">
        <is>
          <t>CC-013</t>
        </is>
      </c>
      <c r="B15" s="6" t="inlineStr">
        <is>
          <t>Wireless Security</t>
        </is>
      </c>
      <c r="C15" s="7" t="inlineStr">
        <is>
          <t>Ensure WPA3 or equivalent wireless security at remote locations</t>
        </is>
      </c>
      <c r="D15" s="6" t="inlineStr">
        <is>
          <t>IT Lead</t>
        </is>
      </c>
      <c r="E15" s="27" t="n">
        <v>46130</v>
      </c>
      <c r="F15" s="27" t="n"/>
      <c r="G15" s="6" t="inlineStr">
        <is>
          <t>In Progress</t>
        </is>
      </c>
      <c r="H15" s="7" t="inlineStr"/>
      <c r="I15" s="62" t="inlineStr">
        <is>
          <t>Verification in progress</t>
        </is>
      </c>
    </row>
    <row r="16">
      <c r="A16" s="10" t="inlineStr">
        <is>
          <t>CC-014</t>
        </is>
      </c>
      <c r="B16" s="11" t="inlineStr">
        <is>
          <t>NIST 800-171</t>
        </is>
      </c>
      <c r="C16" s="12" t="inlineStr">
        <is>
          <t>Implement audit and accountability controls per AU family</t>
        </is>
      </c>
      <c r="D16" s="11" t="inlineStr">
        <is>
          <t>IT Lead</t>
        </is>
      </c>
      <c r="E16" s="28" t="n">
        <v>46132</v>
      </c>
      <c r="F16" s="28" t="n"/>
      <c r="G16" s="11" t="inlineStr">
        <is>
          <t>In Progress</t>
        </is>
      </c>
      <c r="H16" s="12" t="inlineStr"/>
      <c r="I16" s="63" t="inlineStr">
        <is>
          <t>SIEM configuration ongoing</t>
        </is>
      </c>
    </row>
    <row r="17">
      <c r="A17" s="5" t="inlineStr">
        <is>
          <t>CC-015</t>
        </is>
      </c>
      <c r="B17" s="6" t="inlineStr">
        <is>
          <t>CUI Handling</t>
        </is>
      </c>
      <c r="C17" s="7" t="inlineStr">
        <is>
          <t>Conduct CUI handling training for all personnel with CUI access</t>
        </is>
      </c>
      <c r="D17" s="6" t="inlineStr">
        <is>
          <t>Training Lead</t>
        </is>
      </c>
      <c r="E17" s="27" t="n">
        <v>46130</v>
      </c>
      <c r="F17" s="27" t="n">
        <v>46129</v>
      </c>
      <c r="G17" s="6" t="inlineStr">
        <is>
          <t>Complete</t>
        </is>
      </c>
      <c r="H17" s="7" t="inlineStr">
        <is>
          <t>Training completion certificates</t>
        </is>
      </c>
      <c r="I17" s="62" t="inlineStr"/>
    </row>
    <row r="18">
      <c r="A18" s="10" t="inlineStr">
        <is>
          <t>CC-016</t>
        </is>
      </c>
      <c r="B18" s="11" t="inlineStr">
        <is>
          <t>NIST 800-171</t>
        </is>
      </c>
      <c r="C18" s="12" t="inlineStr">
        <is>
          <t>Implement identification and authentication controls per IA family</t>
        </is>
      </c>
      <c r="D18" s="11" t="inlineStr">
        <is>
          <t>IT Lead</t>
        </is>
      </c>
      <c r="E18" s="28" t="n">
        <v>46127</v>
      </c>
      <c r="F18" s="28" t="n">
        <v>46126</v>
      </c>
      <c r="G18" s="11" t="inlineStr">
        <is>
          <t>Complete</t>
        </is>
      </c>
      <c r="H18" s="12" t="inlineStr">
        <is>
          <t>IA control assessment</t>
        </is>
      </c>
      <c r="I18" s="63" t="inlineStr"/>
    </row>
    <row r="19">
      <c r="A19" s="5" t="inlineStr">
        <is>
          <t>CC-017</t>
        </is>
      </c>
      <c r="B19" s="6" t="inlineStr">
        <is>
          <t>Endpoint Protection</t>
        </is>
      </c>
      <c r="C19" s="7" t="inlineStr">
        <is>
          <t>Configure automatic OS and application patching on all endpoints</t>
        </is>
      </c>
      <c r="D19" s="6" t="inlineStr">
        <is>
          <t>IT Lead</t>
        </is>
      </c>
      <c r="E19" s="27" t="n">
        <v>46126</v>
      </c>
      <c r="F19" s="27" t="n">
        <v>46125</v>
      </c>
      <c r="G19" s="6" t="inlineStr">
        <is>
          <t>Complete</t>
        </is>
      </c>
      <c r="H19" s="7" t="inlineStr">
        <is>
          <t>Patch management report</t>
        </is>
      </c>
      <c r="I19" s="62" t="inlineStr">
        <is>
          <t>WSUS configured</t>
        </is>
      </c>
    </row>
    <row r="20">
      <c r="A20" s="10" t="inlineStr">
        <is>
          <t>CC-018</t>
        </is>
      </c>
      <c r="B20" s="11" t="inlineStr">
        <is>
          <t>Security Training</t>
        </is>
      </c>
      <c r="C20" s="12" t="inlineStr">
        <is>
          <t>Complete Insider Threat Awareness training for all personnel</t>
        </is>
      </c>
      <c r="D20" s="11" t="inlineStr">
        <is>
          <t>Training Lead</t>
        </is>
      </c>
      <c r="E20" s="28" t="n">
        <v>46132</v>
      </c>
      <c r="F20" s="28" t="n"/>
      <c r="G20" s="11" t="inlineStr">
        <is>
          <t>In Progress</t>
        </is>
      </c>
      <c r="H20" s="12" t="inlineStr"/>
      <c r="I20" s="63" t="inlineStr">
        <is>
          <t>Cohort 2 pending</t>
        </is>
      </c>
    </row>
    <row r="21">
      <c r="A21" s="5" t="inlineStr">
        <is>
          <t>CC-019</t>
        </is>
      </c>
      <c r="B21" s="6" t="inlineStr">
        <is>
          <t>NIST 800-171</t>
        </is>
      </c>
      <c r="C21" s="7" t="inlineStr">
        <is>
          <t>Implement physical protection controls for remote CUI environments</t>
        </is>
      </c>
      <c r="D21" s="6" t="inlineStr">
        <is>
          <t>FSO/Security</t>
        </is>
      </c>
      <c r="E21" s="27" t="n">
        <v>46134</v>
      </c>
      <c r="F21" s="27" t="n"/>
      <c r="G21" s="6" t="inlineStr">
        <is>
          <t>Not Started</t>
        </is>
      </c>
      <c r="H21" s="7" t="inlineStr"/>
      <c r="I21" s="62" t="inlineStr">
        <is>
          <t>Spot checks planned</t>
        </is>
      </c>
    </row>
    <row r="22">
      <c r="A22" s="10" t="inlineStr">
        <is>
          <t>CC-020</t>
        </is>
      </c>
      <c r="B22" s="11" t="inlineStr">
        <is>
          <t>Workspace</t>
        </is>
      </c>
      <c r="C22" s="12" t="inlineStr">
        <is>
          <t>Verify approved privacy screens on all remote monitors</t>
        </is>
      </c>
      <c r="D22" s="11" t="inlineStr">
        <is>
          <t>IT Lead</t>
        </is>
      </c>
      <c r="E22" s="28" t="n">
        <v>46134</v>
      </c>
      <c r="F22" s="28" t="n"/>
      <c r="G22" s="11" t="inlineStr">
        <is>
          <t>Not Started</t>
        </is>
      </c>
      <c r="H22" s="12" t="inlineStr"/>
      <c r="I22" s="63" t="inlineStr">
        <is>
          <t>Screens shipped</t>
        </is>
      </c>
    </row>
    <row r="23">
      <c r="A23" s="5" t="inlineStr">
        <is>
          <t>CC-021</t>
        </is>
      </c>
      <c r="B23" s="6" t="inlineStr">
        <is>
          <t>NIST 800-171</t>
        </is>
      </c>
      <c r="C23" s="7" t="inlineStr">
        <is>
          <t>Implement system and communications protection per SC family</t>
        </is>
      </c>
      <c r="D23" s="6" t="inlineStr">
        <is>
          <t>IT Lead</t>
        </is>
      </c>
      <c r="E23" s="27" t="n">
        <v>46137</v>
      </c>
      <c r="F23" s="27" t="n"/>
      <c r="G23" s="6" t="inlineStr">
        <is>
          <t>Not Started</t>
        </is>
      </c>
      <c r="H23" s="7" t="inlineStr"/>
      <c r="I23" s="62" t="inlineStr">
        <is>
          <t>TLS 1.3 enforcement</t>
        </is>
      </c>
    </row>
    <row r="24">
      <c r="A24" s="10" t="inlineStr">
        <is>
          <t>CC-022</t>
        </is>
      </c>
      <c r="B24" s="11" t="inlineStr">
        <is>
          <t>CUI Handling</t>
        </is>
      </c>
      <c r="C24" s="12" t="inlineStr">
        <is>
          <t>Establish CUI destruction procedures for remote environments</t>
        </is>
      </c>
      <c r="D24" s="11" t="inlineStr">
        <is>
          <t>FSO/Security</t>
        </is>
      </c>
      <c r="E24" s="28" t="n">
        <v>46137</v>
      </c>
      <c r="F24" s="28" t="n"/>
      <c r="G24" s="11" t="inlineStr">
        <is>
          <t>Not Started</t>
        </is>
      </c>
      <c r="H24" s="12" t="inlineStr"/>
      <c r="I24" s="63" t="inlineStr">
        <is>
          <t>Cross-cut shredder policy</t>
        </is>
      </c>
    </row>
    <row r="25">
      <c r="A25" s="5" t="inlineStr">
        <is>
          <t>CC-023</t>
        </is>
      </c>
      <c r="B25" s="6" t="inlineStr">
        <is>
          <t>Incident Reporting</t>
        </is>
      </c>
      <c r="C25" s="7" t="inlineStr">
        <is>
          <t>Conduct tabletop exercise for data spill response</t>
        </is>
      </c>
      <c r="D25" s="6" t="inlineStr">
        <is>
          <t>FSO/Security</t>
        </is>
      </c>
      <c r="E25" s="27" t="n">
        <v>46140</v>
      </c>
      <c r="F25" s="27" t="n"/>
      <c r="G25" s="6" t="inlineStr">
        <is>
          <t>Not Started</t>
        </is>
      </c>
      <c r="H25" s="7" t="inlineStr"/>
      <c r="I25" s="62" t="inlineStr">
        <is>
          <t>Scheduled for Week 4</t>
        </is>
      </c>
    </row>
    <row r="26">
      <c r="A26" s="10" t="inlineStr">
        <is>
          <t>CC-024</t>
        </is>
      </c>
      <c r="B26" s="11" t="inlineStr">
        <is>
          <t>Security Training</t>
        </is>
      </c>
      <c r="C26" s="12" t="inlineStr">
        <is>
          <t>Complete Controlled Environment Security Brief for all remote staff</t>
        </is>
      </c>
      <c r="D26" s="11" t="inlineStr">
        <is>
          <t>FSO/Security</t>
        </is>
      </c>
      <c r="E26" s="28" t="n">
        <v>46142</v>
      </c>
      <c r="F26" s="28" t="n"/>
      <c r="G26" s="11" t="inlineStr">
        <is>
          <t>Not Started</t>
        </is>
      </c>
      <c r="H26" s="12" t="inlineStr"/>
      <c r="I26" s="63" t="inlineStr"/>
    </row>
    <row r="27">
      <c r="A27" s="15" t="inlineStr">
        <is>
          <t>CC-025</t>
        </is>
      </c>
      <c r="B27" s="16" t="inlineStr">
        <is>
          <t>NIST 800-171</t>
        </is>
      </c>
      <c r="C27" s="17" t="inlineStr">
        <is>
          <t>Complete Plan of Action and Milestones (POA&amp;M) for open controls</t>
        </is>
      </c>
      <c r="D27" s="16" t="inlineStr">
        <is>
          <t>FSO/Security</t>
        </is>
      </c>
      <c r="E27" s="29" t="n">
        <v>46143</v>
      </c>
      <c r="F27" s="29" t="n"/>
      <c r="G27" s="16" t="inlineStr">
        <is>
          <t>Not Started</t>
        </is>
      </c>
      <c r="H27" s="17" t="inlineStr"/>
      <c r="I27" s="64" t="inlineStr"/>
    </row>
  </sheetData>
  <mergeCells count="1">
    <mergeCell ref="A1:I1"/>
  </mergeCells>
  <dataValidations count="1">
    <dataValidation sqref="G3:G27" showDropDown="0" showInputMessage="0" showErrorMessage="0" allowBlank="1" type="list">
      <formula1>"Not Started,In Progress,Complete,Overdue,Blocked"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22" customWidth="1" min="4" max="4"/>
    <col width="12" customWidth="1" min="5" max="5"/>
    <col width="42" customWidth="1" min="6" max="6"/>
    <col width="14" customWidth="1" min="7" max="7"/>
    <col width="10" customWidth="1" min="8" max="8"/>
  </cols>
  <sheetData>
    <row r="1" ht="30" customHeight="1">
      <c r="A1" s="1" t="inlineStr">
        <is>
          <t>ALERTS — Auto-Flagged Action Items</t>
        </is>
      </c>
    </row>
    <row r="2" ht="30" customHeight="1">
      <c r="A2" s="2" t="inlineStr">
        <is>
          <t>Priority</t>
        </is>
      </c>
      <c r="B2" s="3" t="inlineStr">
        <is>
          <t>Category</t>
        </is>
      </c>
      <c r="C2" s="3" t="inlineStr">
        <is>
          <t>Alert Description</t>
        </is>
      </c>
      <c r="D2" s="3" t="inlineStr">
        <is>
          <t>Employee/Item</t>
        </is>
      </c>
      <c r="E2" s="3" t="inlineStr">
        <is>
          <t>Days Overdue</t>
        </is>
      </c>
      <c r="F2" s="3" t="inlineStr">
        <is>
          <t>Action Required</t>
        </is>
      </c>
      <c r="G2" s="3" t="inlineStr">
        <is>
          <t>Assigned To</t>
        </is>
      </c>
      <c r="H2" s="4" t="inlineStr">
        <is>
          <t>Status</t>
        </is>
      </c>
    </row>
    <row r="3">
      <c r="A3" s="65" t="inlineStr">
        <is>
          <t>Critical</t>
        </is>
      </c>
      <c r="B3" s="66" t="inlineStr">
        <is>
          <t>Security</t>
        </is>
      </c>
      <c r="C3" s="67" t="inlineStr">
        <is>
          <t>TS clearance processing stalled — no agency response in 10 days</t>
        </is>
      </c>
      <c r="D3" s="66" t="inlineStr">
        <is>
          <t>E-008 Michael Davis</t>
        </is>
      </c>
      <c r="E3" s="66" t="n">
        <v>10</v>
      </c>
      <c r="F3" s="67" t="inlineStr">
        <is>
          <t>Escalate to agency security POC; request status update</t>
        </is>
      </c>
      <c r="G3" s="66" t="inlineStr">
        <is>
          <t>FSO/Security</t>
        </is>
      </c>
      <c r="H3" s="68" t="inlineStr">
        <is>
          <t>Open</t>
        </is>
      </c>
    </row>
    <row r="4">
      <c r="A4" s="65" t="inlineStr">
        <is>
          <t>Critical</t>
        </is>
      </c>
      <c r="B4" s="66" t="inlineStr">
        <is>
          <t>Security</t>
        </is>
      </c>
      <c r="C4" s="67" t="inlineStr">
        <is>
          <t>Interim clearance decision pending &gt;14 days</t>
        </is>
      </c>
      <c r="D4" s="66" t="inlineStr">
        <is>
          <t>E-004 Robert Williams</t>
        </is>
      </c>
      <c r="E4" s="66" t="n">
        <v>14</v>
      </c>
      <c r="F4" s="67" t="inlineStr">
        <is>
          <t>Follow up with adjudication office; prepare contingency assignment</t>
        </is>
      </c>
      <c r="G4" s="66" t="inlineStr">
        <is>
          <t>FSO/Security</t>
        </is>
      </c>
      <c r="H4" s="68" t="inlineStr">
        <is>
          <t>Open</t>
        </is>
      </c>
    </row>
    <row r="5">
      <c r="A5" s="65" t="inlineStr">
        <is>
          <t>Critical</t>
        </is>
      </c>
      <c r="B5" s="66" t="inlineStr">
        <is>
          <t>Operations</t>
        </is>
      </c>
      <c r="C5" s="67" t="inlineStr">
        <is>
          <t>Equipment not delivered — employee blocked from starting</t>
        </is>
      </c>
      <c r="D5" s="66" t="inlineStr">
        <is>
          <t>E-009 Kevin Lee</t>
        </is>
      </c>
      <c r="E5" s="66" t="n">
        <v>3</v>
      </c>
      <c r="F5" s="67" t="inlineStr">
        <is>
          <t>Expedite shipping; provide tracking update to employee</t>
        </is>
      </c>
      <c r="G5" s="66" t="inlineStr">
        <is>
          <t>IT Lead</t>
        </is>
      </c>
      <c r="H5" s="68" t="inlineStr">
        <is>
          <t>Open</t>
        </is>
      </c>
    </row>
    <row r="6">
      <c r="A6" s="69" t="inlineStr">
        <is>
          <t>High</t>
        </is>
      </c>
      <c r="B6" s="70" t="inlineStr">
        <is>
          <t>Quality</t>
        </is>
      </c>
      <c r="C6" s="71" t="inlineStr">
        <is>
          <t>QA score below 80% — critical error flagged</t>
        </is>
      </c>
      <c r="D6" s="70" t="inlineStr">
        <is>
          <t>E-012 Carmen Rivera</t>
        </is>
      </c>
      <c r="E6" s="70" t="n">
        <v>0</v>
      </c>
      <c r="F6" s="71" t="inlineStr">
        <is>
          <t>Initiate performance improvement plan; assign dedicated coach</t>
        </is>
      </c>
      <c r="G6" s="70" t="inlineStr">
        <is>
          <t>QA Lead</t>
        </is>
      </c>
      <c r="H6" s="72" t="inlineStr">
        <is>
          <t>Open</t>
        </is>
      </c>
    </row>
    <row r="7">
      <c r="A7" s="69" t="inlineStr">
        <is>
          <t>High</t>
        </is>
      </c>
      <c r="B7" s="70" t="inlineStr">
        <is>
          <t>Quality</t>
        </is>
      </c>
      <c r="C7" s="71" t="inlineStr">
        <is>
          <t>QA score declining trend — 3 consecutive sessions below standard</t>
        </is>
      </c>
      <c r="D7" s="70" t="inlineStr">
        <is>
          <t>E-005 Priya Sharma</t>
        </is>
      </c>
      <c r="E7" s="70" t="n">
        <v>0</v>
      </c>
      <c r="F7" s="71" t="inlineStr">
        <is>
          <t>Schedule coaching session; review training gaps</t>
        </is>
      </c>
      <c r="G7" s="70" t="inlineStr">
        <is>
          <t>QA Lead</t>
        </is>
      </c>
      <c r="H7" s="72" t="inlineStr">
        <is>
          <t>Open</t>
        </is>
      </c>
    </row>
    <row r="8">
      <c r="A8" s="69" t="inlineStr">
        <is>
          <t>High</t>
        </is>
      </c>
      <c r="B8" s="70" t="inlineStr">
        <is>
          <t>HR</t>
        </is>
      </c>
      <c r="C8" s="71" t="inlineStr">
        <is>
          <t>30-day check-in overdue</t>
        </is>
      </c>
      <c r="D8" s="70" t="inlineStr">
        <is>
          <t>E-004 Robert Williams</t>
        </is>
      </c>
      <c r="E8" s="70" t="n">
        <v>6</v>
      </c>
      <c r="F8" s="71" t="inlineStr">
        <is>
          <t>Schedule immediate check-in; assess engagement and clearance frustration</t>
        </is>
      </c>
      <c r="G8" s="70" t="inlineStr">
        <is>
          <t>HR Manager</t>
        </is>
      </c>
      <c r="H8" s="72" t="inlineStr">
        <is>
          <t>Open</t>
        </is>
      </c>
    </row>
    <row r="9">
      <c r="A9" s="69" t="inlineStr">
        <is>
          <t>High</t>
        </is>
      </c>
      <c r="B9" s="70" t="inlineStr">
        <is>
          <t>HR</t>
        </is>
      </c>
      <c r="C9" s="71" t="inlineStr">
        <is>
          <t>30-day check-in overdue</t>
        </is>
      </c>
      <c r="D9" s="70" t="inlineStr">
        <is>
          <t>E-005 Priya Sharma</t>
        </is>
      </c>
      <c r="E9" s="70" t="n">
        <v>6</v>
      </c>
      <c r="F9" s="71" t="inlineStr">
        <is>
          <t>Schedule immediate check-in; address QA performance concerns</t>
        </is>
      </c>
      <c r="G9" s="70" t="inlineStr">
        <is>
          <t>HR Manager</t>
        </is>
      </c>
      <c r="H9" s="72" t="inlineStr">
        <is>
          <t>Open</t>
        </is>
      </c>
    </row>
    <row r="10">
      <c r="A10" s="69" t="inlineStr">
        <is>
          <t>High</t>
        </is>
      </c>
      <c r="B10" s="70" t="inlineStr">
        <is>
          <t>Risk</t>
        </is>
      </c>
      <c r="C10" s="71" t="inlineStr">
        <is>
          <t>Risk R-001 trending increasing — clearance delays worsening</t>
        </is>
      </c>
      <c r="D10" s="70" t="inlineStr">
        <is>
          <t>Risk Register R-001</t>
        </is>
      </c>
      <c r="E10" s="70" t="n">
        <v>0</v>
      </c>
      <c r="F10" s="71" t="inlineStr">
        <is>
          <t>Review mitigation effectiveness; escalate to program manager</t>
        </is>
      </c>
      <c r="G10" s="70" t="inlineStr">
        <is>
          <t>FSO/Security</t>
        </is>
      </c>
      <c r="H10" s="72" t="inlineStr">
        <is>
          <t>Open</t>
        </is>
      </c>
    </row>
    <row r="11">
      <c r="A11" s="69" t="inlineStr">
        <is>
          <t>High</t>
        </is>
      </c>
      <c r="B11" s="70" t="inlineStr">
        <is>
          <t>Risk</t>
        </is>
      </c>
      <c r="C11" s="71" t="inlineStr">
        <is>
          <t>Risk R-006 trending increasing — attrition risk elevated</t>
        </is>
      </c>
      <c r="D11" s="70" t="inlineStr">
        <is>
          <t>Risk Register R-006</t>
        </is>
      </c>
      <c r="E11" s="70" t="n">
        <v>0</v>
      </c>
      <c r="F11" s="71" t="inlineStr">
        <is>
          <t>Activate retention measures; review exit interview data</t>
        </is>
      </c>
      <c r="G11" s="70" t="inlineStr">
        <is>
          <t>HR Manager</t>
        </is>
      </c>
      <c r="H11" s="72" t="inlineStr">
        <is>
          <t>Open</t>
        </is>
      </c>
    </row>
    <row r="12">
      <c r="A12" s="73" t="inlineStr">
        <is>
          <t>Medium</t>
        </is>
      </c>
      <c r="B12" s="6" t="inlineStr">
        <is>
          <t>Recruiting</t>
        </is>
      </c>
      <c r="C12" s="7" t="inlineStr">
        <is>
          <t>Candidate C-012 stalled at Interview stage for 6 days — no decision</t>
        </is>
      </c>
      <c r="D12" s="6" t="inlineStr">
        <is>
          <t>C-012 Carlos Rodriguez</t>
        </is>
      </c>
      <c r="E12" s="6" t="n">
        <v>6</v>
      </c>
      <c r="F12" s="7" t="inlineStr">
        <is>
          <t>Make hire/no-hire decision; schedule second interview if needed</t>
        </is>
      </c>
      <c r="G12" s="6" t="inlineStr">
        <is>
          <t>Recruiting Lead</t>
        </is>
      </c>
      <c r="H12" s="9" t="inlineStr">
        <is>
          <t>Open</t>
        </is>
      </c>
    </row>
    <row r="13">
      <c r="A13" s="73" t="inlineStr">
        <is>
          <t>Medium</t>
        </is>
      </c>
      <c r="B13" s="6" t="inlineStr">
        <is>
          <t>Operations</t>
        </is>
      </c>
      <c r="C13" s="7" t="inlineStr">
        <is>
          <t>Checklist task T-033 in progress past due date</t>
        </is>
      </c>
      <c r="D13" s="6" t="inlineStr">
        <is>
          <t>QA Calibration</t>
        </is>
      </c>
      <c r="E13" s="6" t="n">
        <v>1</v>
      </c>
      <c r="F13" s="7" t="inlineStr">
        <is>
          <t>Complete calibration exercise; document scoring standards</t>
        </is>
      </c>
      <c r="G13" s="6" t="inlineStr">
        <is>
          <t>QA Lead</t>
        </is>
      </c>
      <c r="H13" s="9" t="inlineStr">
        <is>
          <t>Open</t>
        </is>
      </c>
    </row>
    <row r="14">
      <c r="A14" s="73" t="inlineStr">
        <is>
          <t>Medium</t>
        </is>
      </c>
      <c r="B14" s="6" t="inlineStr">
        <is>
          <t>Security</t>
        </is>
      </c>
      <c r="C14" s="7" t="inlineStr">
        <is>
          <t>eQIP not yet initiated — employee onboarding</t>
        </is>
      </c>
      <c r="D14" s="6" t="inlineStr">
        <is>
          <t>E-009 Kevin Lee</t>
        </is>
      </c>
      <c r="E14" s="6" t="n">
        <v>10</v>
      </c>
      <c r="F14" s="7" t="inlineStr">
        <is>
          <t>Create eQIP account immediately; begin OF-306 collection</t>
        </is>
      </c>
      <c r="G14" s="6" t="inlineStr">
        <is>
          <t>FSO/Security</t>
        </is>
      </c>
      <c r="H14" s="9" t="inlineStr">
        <is>
          <t>Open</t>
        </is>
      </c>
    </row>
    <row r="15">
      <c r="A15" s="73" t="inlineStr">
        <is>
          <t>Medium</t>
        </is>
      </c>
      <c r="B15" s="6" t="inlineStr">
        <is>
          <t>Compliance</t>
        </is>
      </c>
      <c r="C15" s="7" t="inlineStr">
        <is>
          <t>CAC/PIV cards pending for 3 employees</t>
        </is>
      </c>
      <c r="D15" s="6" t="inlineStr">
        <is>
          <t>CC-010</t>
        </is>
      </c>
      <c r="E15" s="6" t="n">
        <v>0</v>
      </c>
      <c r="F15" s="7" t="inlineStr">
        <is>
          <t>Schedule HSPD-12 enrollment appointments</t>
        </is>
      </c>
      <c r="G15" s="6" t="inlineStr">
        <is>
          <t>FSO/Security</t>
        </is>
      </c>
      <c r="H15" s="9" t="inlineStr">
        <is>
          <t>Open</t>
        </is>
      </c>
    </row>
    <row r="16">
      <c r="A16" s="73" t="inlineStr">
        <is>
          <t>Medium</t>
        </is>
      </c>
      <c r="B16" s="6" t="inlineStr">
        <is>
          <t>Compliance</t>
        </is>
      </c>
      <c r="C16" s="7" t="inlineStr">
        <is>
          <t>Wireless security verification incomplete for remote locations</t>
        </is>
      </c>
      <c r="D16" s="6" t="inlineStr">
        <is>
          <t>CC-013</t>
        </is>
      </c>
      <c r="E16" s="6" t="n">
        <v>2</v>
      </c>
      <c r="F16" s="7" t="inlineStr">
        <is>
          <t>Send verification checklist to remaining employees</t>
        </is>
      </c>
      <c r="G16" s="6" t="inlineStr">
        <is>
          <t>IT Lead</t>
        </is>
      </c>
      <c r="H16" s="9" t="inlineStr">
        <is>
          <t>Open</t>
        </is>
      </c>
    </row>
    <row r="17">
      <c r="A17" s="74" t="inlineStr">
        <is>
          <t>High</t>
        </is>
      </c>
      <c r="B17" s="75" t="inlineStr">
        <is>
          <t>Personnel</t>
        </is>
      </c>
      <c r="C17" s="76" t="inlineStr">
        <is>
          <t>Recent separation — E-019 attrition risk signal for cohort</t>
        </is>
      </c>
      <c r="D17" s="75" t="inlineStr">
        <is>
          <t>E-019 Alex Martinez</t>
        </is>
      </c>
      <c r="E17" s="75" t="n">
        <v>2</v>
      </c>
      <c r="F17" s="76" t="inlineStr">
        <is>
          <t>Conduct stay interviews for at-risk employees; review workload</t>
        </is>
      </c>
      <c r="G17" s="75" t="inlineStr">
        <is>
          <t>HR Manager</t>
        </is>
      </c>
      <c r="H17" s="77" t="inlineStr">
        <is>
          <t>Open</t>
        </is>
      </c>
    </row>
  </sheetData>
  <mergeCells count="1">
    <mergeCell ref="A1:H1"/>
  </mergeCells>
  <dataValidations count="3">
    <dataValidation sqref="A3:A17" showDropDown="0" showInputMessage="0" showErrorMessage="0" allowBlank="1" type="list">
      <formula1>"Critical,High,Medium"</formula1>
    </dataValidation>
    <dataValidation sqref="B3:B17" showDropDown="0" showInputMessage="0" showErrorMessage="0" allowBlank="1" type="list">
      <formula1>"Recruiting,Security,HR,Operations,Quality,Risk,Compliance,Personnel"</formula1>
    </dataValidation>
    <dataValidation sqref="H3:H17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  <col width="35" customWidth="1" min="9" max="9"/>
  </cols>
  <sheetData>
    <row r="1" ht="30" customHeight="1">
      <c r="A1" s="1" t="inlineStr">
        <is>
          <t>CHANGE LOG — Audit Trail</t>
        </is>
      </c>
    </row>
    <row r="2" ht="30" customHeight="1">
      <c r="A2" s="2" t="inlineStr">
        <is>
          <t>Change ID</t>
        </is>
      </c>
      <c r="B2" s="3" t="inlineStr">
        <is>
          <t>Date</t>
        </is>
      </c>
      <c r="C2" s="3" t="inlineStr">
        <is>
          <t>Sheet Affected</t>
        </is>
      </c>
      <c r="D2" s="3" t="inlineStr">
        <is>
          <t>Record/Employee</t>
        </is>
      </c>
      <c r="E2" s="3" t="inlineStr">
        <is>
          <t>Field Changed</t>
        </is>
      </c>
      <c r="F2" s="3" t="inlineStr">
        <is>
          <t>Old Value</t>
        </is>
      </c>
      <c r="G2" s="3" t="inlineStr">
        <is>
          <t>New Value</t>
        </is>
      </c>
      <c r="H2" s="3" t="inlineStr">
        <is>
          <t>Changed By</t>
        </is>
      </c>
      <c r="I2" s="4" t="inlineStr">
        <is>
          <t>Reason</t>
        </is>
      </c>
    </row>
    <row r="3">
      <c r="A3" s="5" t="inlineStr">
        <is>
          <t>CL-001</t>
        </is>
      </c>
      <c r="B3" s="27" t="n">
        <v>46120</v>
      </c>
      <c r="C3" s="6" t="inlineStr">
        <is>
          <t>Candidate Pipeline</t>
        </is>
      </c>
      <c r="D3" s="6" t="inlineStr">
        <is>
          <t>C-009 Jennifer Garcia</t>
        </is>
      </c>
      <c r="E3" s="6" t="inlineStr">
        <is>
          <t>Pipeline Stage</t>
        </is>
      </c>
      <c r="F3" s="6" t="inlineStr">
        <is>
          <t>Offered</t>
        </is>
      </c>
      <c r="G3" s="6" t="inlineStr">
        <is>
          <t>Withdrawn</t>
        </is>
      </c>
      <c r="H3" s="6" t="inlineStr">
        <is>
          <t>S. Patel</t>
        </is>
      </c>
      <c r="I3" s="62" t="inlineStr">
        <is>
          <t>Candidate accepted competing offer</t>
        </is>
      </c>
    </row>
    <row r="4">
      <c r="A4" s="10" t="inlineStr">
        <is>
          <t>CL-002</t>
        </is>
      </c>
      <c r="B4" s="28" t="n">
        <v>46121</v>
      </c>
      <c r="C4" s="11" t="inlineStr">
        <is>
          <t>Employee Roster</t>
        </is>
      </c>
      <c r="D4" s="11" t="inlineStr">
        <is>
          <t>E-001 Maria Santos</t>
        </is>
      </c>
      <c r="E4" s="11" t="inlineStr">
        <is>
          <t>Status</t>
        </is>
      </c>
      <c r="F4" s="11" t="inlineStr">
        <is>
          <t>Training</t>
        </is>
      </c>
      <c r="G4" s="11" t="inlineStr">
        <is>
          <t>Deployed</t>
        </is>
      </c>
      <c r="H4" s="11" t="inlineStr">
        <is>
          <t>T. Washington</t>
        </is>
      </c>
      <c r="I4" s="63" t="inlineStr">
        <is>
          <t>Completed training and nesting successfully</t>
        </is>
      </c>
    </row>
    <row r="5">
      <c r="A5" s="5" t="inlineStr">
        <is>
          <t>CL-003</t>
        </is>
      </c>
      <c r="B5" s="27" t="n">
        <v>46122</v>
      </c>
      <c r="C5" s="6" t="inlineStr">
        <is>
          <t>E-QIP Tracker</t>
        </is>
      </c>
      <c r="D5" s="6" t="inlineStr">
        <is>
          <t>E-003 Aisha Johnson</t>
        </is>
      </c>
      <c r="E5" s="6" t="inlineStr">
        <is>
          <t>Interim Decision</t>
        </is>
      </c>
      <c r="F5" s="6" t="inlineStr">
        <is>
          <t>Pending</t>
        </is>
      </c>
      <c r="G5" s="6" t="inlineStr">
        <is>
          <t>Granted</t>
        </is>
      </c>
      <c r="H5" s="6" t="inlineStr">
        <is>
          <t>FSO</t>
        </is>
      </c>
      <c r="I5" s="62" t="inlineStr">
        <is>
          <t>Agency granted interim Secret clearance</t>
        </is>
      </c>
    </row>
    <row r="6">
      <c r="A6" s="10" t="inlineStr">
        <is>
          <t>CL-004</t>
        </is>
      </c>
      <c r="B6" s="28" t="n">
        <v>46124</v>
      </c>
      <c r="C6" s="11" t="inlineStr">
        <is>
          <t>Risk Register</t>
        </is>
      </c>
      <c r="D6" s="11" t="inlineStr">
        <is>
          <t>R-003</t>
        </is>
      </c>
      <c r="E6" s="11" t="inlineStr">
        <is>
          <t>Trend</t>
        </is>
      </c>
      <c r="F6" s="11" t="inlineStr">
        <is>
          <t>Stable</t>
        </is>
      </c>
      <c r="G6" s="11" t="inlineStr">
        <is>
          <t>Decreasing</t>
        </is>
      </c>
      <c r="H6" s="11" t="inlineStr">
        <is>
          <t>IT Lead</t>
        </is>
      </c>
      <c r="I6" s="63" t="inlineStr">
        <is>
          <t>VPN capacity expanded with additional gateway</t>
        </is>
      </c>
    </row>
    <row r="7">
      <c r="A7" s="5" t="inlineStr">
        <is>
          <t>CL-005</t>
        </is>
      </c>
      <c r="B7" s="27" t="n">
        <v>46126</v>
      </c>
      <c r="C7" s="6" t="inlineStr">
        <is>
          <t>QA Monitoring</t>
        </is>
      </c>
      <c r="D7" s="6" t="inlineStr">
        <is>
          <t>E-012 Carmen Rivera</t>
        </is>
      </c>
      <c r="E7" s="6" t="inlineStr">
        <is>
          <t>Critical Error</t>
        </is>
      </c>
      <c r="F7" s="6" t="inlineStr">
        <is>
          <t>N</t>
        </is>
      </c>
      <c r="G7" s="6" t="inlineStr">
        <is>
          <t>Y</t>
        </is>
      </c>
      <c r="H7" s="6" t="inlineStr">
        <is>
          <t>D. Thompson</t>
        </is>
      </c>
      <c r="I7" s="62" t="inlineStr">
        <is>
          <t>Critical accuracy error identified in case disposition</t>
        </is>
      </c>
    </row>
    <row r="8">
      <c r="A8" s="10" t="inlineStr">
        <is>
          <t>CL-006</t>
        </is>
      </c>
      <c r="B8" s="28" t="n">
        <v>46127</v>
      </c>
      <c r="C8" s="11" t="inlineStr">
        <is>
          <t>Surge Checklist</t>
        </is>
      </c>
      <c r="D8" s="11" t="inlineStr">
        <is>
          <t>T-033</t>
        </is>
      </c>
      <c r="E8" s="11" t="inlineStr">
        <is>
          <t>Status</t>
        </is>
      </c>
      <c r="F8" s="11" t="inlineStr">
        <is>
          <t>Not Started</t>
        </is>
      </c>
      <c r="G8" s="11" t="inlineStr">
        <is>
          <t>In Progress</t>
        </is>
      </c>
      <c r="H8" s="11" t="inlineStr">
        <is>
          <t>QA Lead</t>
        </is>
      </c>
      <c r="I8" s="63" t="inlineStr">
        <is>
          <t>QA calibration exercise initiated</t>
        </is>
      </c>
    </row>
    <row r="9">
      <c r="A9" s="5" t="inlineStr">
        <is>
          <t>CL-007</t>
        </is>
      </c>
      <c r="B9" s="27" t="n">
        <v>46128</v>
      </c>
      <c r="C9" s="6" t="inlineStr">
        <is>
          <t>Employee Roster</t>
        </is>
      </c>
      <c r="D9" s="6" t="inlineStr">
        <is>
          <t>E-014 Derek Foster</t>
        </is>
      </c>
      <c r="E9" s="6" t="inlineStr">
        <is>
          <t>Status</t>
        </is>
      </c>
      <c r="F9" s="6" t="inlineStr">
        <is>
          <t>Training</t>
        </is>
      </c>
      <c r="G9" s="6" t="inlineStr">
        <is>
          <t>Nesting</t>
        </is>
      </c>
      <c r="H9" s="6" t="inlineStr">
        <is>
          <t>L. Chen</t>
        </is>
      </c>
      <c r="I9" s="62" t="inlineStr">
        <is>
          <t>Transitioned to nesting phase</t>
        </is>
      </c>
    </row>
    <row r="10">
      <c r="A10" s="10" t="inlineStr">
        <is>
          <t>CL-008</t>
        </is>
      </c>
      <c r="B10" s="28" t="n">
        <v>46130</v>
      </c>
      <c r="C10" s="11" t="inlineStr">
        <is>
          <t>Employee Roster</t>
        </is>
      </c>
      <c r="D10" s="11" t="inlineStr">
        <is>
          <t>E-019 Alex Martinez</t>
        </is>
      </c>
      <c r="E10" s="11" t="inlineStr">
        <is>
          <t>Status</t>
        </is>
      </c>
      <c r="F10" s="11" t="inlineStr">
        <is>
          <t>Deployed</t>
        </is>
      </c>
      <c r="G10" s="11" t="inlineStr">
        <is>
          <t>Separated</t>
        </is>
      </c>
      <c r="H10" s="11" t="inlineStr">
        <is>
          <t>HR Manager</t>
        </is>
      </c>
      <c r="I10" s="63" t="inlineStr">
        <is>
          <t>Voluntary separation — personal reasons</t>
        </is>
      </c>
    </row>
    <row r="11">
      <c r="A11" s="5" t="inlineStr">
        <is>
          <t>CL-009</t>
        </is>
      </c>
      <c r="B11" s="27" t="n">
        <v>46130</v>
      </c>
      <c r="C11" s="6" t="inlineStr">
        <is>
          <t>Retention Tracker</t>
        </is>
      </c>
      <c r="D11" s="6" t="inlineStr">
        <is>
          <t>E-019 Alex Martinez</t>
        </is>
      </c>
      <c r="E11" s="6" t="inlineStr">
        <is>
          <t>Separation Date</t>
        </is>
      </c>
      <c r="F11" s="6" t="inlineStr"/>
      <c r="G11" s="6" t="inlineStr">
        <is>
          <t>2026-04-18</t>
        </is>
      </c>
      <c r="H11" s="6" t="inlineStr">
        <is>
          <t>HR Manager</t>
        </is>
      </c>
      <c r="I11" s="62" t="inlineStr">
        <is>
          <t>Processed separation paperwork</t>
        </is>
      </c>
    </row>
    <row r="12">
      <c r="A12" s="22" t="inlineStr">
        <is>
          <t>CL-010</t>
        </is>
      </c>
      <c r="B12" s="32" t="n">
        <v>46132</v>
      </c>
      <c r="C12" s="23" t="inlineStr">
        <is>
          <t>Risk Register</t>
        </is>
      </c>
      <c r="D12" s="23" t="inlineStr">
        <is>
          <t>R-006</t>
        </is>
      </c>
      <c r="E12" s="23" t="inlineStr">
        <is>
          <t>Trend</t>
        </is>
      </c>
      <c r="F12" s="23" t="inlineStr">
        <is>
          <t>Stable</t>
        </is>
      </c>
      <c r="G12" s="23" t="inlineStr">
        <is>
          <t>Increasing</t>
        </is>
      </c>
      <c r="H12" s="23" t="inlineStr">
        <is>
          <t>Program Manager</t>
        </is>
      </c>
      <c r="I12" s="78" t="inlineStr">
        <is>
          <t>Attrition risk elevated following E-019 separation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2026-04-20T20:48:19Z</dcterms:created>
  <dcterms:modified xmlns:dcterms="http://purl.org/dc/terms/" xmlns:xsi="http://www.w3.org/2001/XMLSchema-instance" xsi:type="dcterms:W3CDTF">2026-04-20T22:56:51Z</dcterms:modified>
</cp:coreProperties>
</file>
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Curriculum Master List" sheetId="2" state="visible" r:id="rId2"/>
    <sheet xmlns:r="http://schemas.openxmlformats.org/officeDocument/2006/relationships" name="Training Schedule" sheetId="3" state="visible" r:id="rId3"/>
    <sheet xmlns:r="http://schemas.openxmlformats.org/officeDocument/2006/relationships" name="Employee Training Tracker" sheetId="4" state="visible" r:id="rId4"/>
    <sheet xmlns:r="http://schemas.openxmlformats.org/officeDocument/2006/relationships" name="Certification Tracker" sheetId="5" state="visible" r:id="rId5"/>
    <sheet xmlns:r="http://schemas.openxmlformats.org/officeDocument/2006/relationships" name="Training Effectiveness" sheetId="6" state="visible" r:id="rId6"/>
    <sheet xmlns:r="http://schemas.openxmlformats.org/officeDocument/2006/relationships" name="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$#,##0"/>
    <numFmt numFmtId="167" formatCode="yyyy-mm-dd"/>
  </numFmts>
  <fonts count="1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8"/>
    </font>
    <font>
      <color rgb="00006100"/>
    </font>
    <font>
      <color rgb="001F4E79"/>
    </font>
    <font>
      <color rgb="009C5700"/>
    </font>
    <font>
      <color rgb="009C0006"/>
    </font>
    <font>
      <sz val="8"/>
    </font>
    <font>
      <b val="1"/>
      <color rgb="00C65911"/>
    </font>
    <font>
      <b val="1"/>
      <color rgb="009C0006"/>
    </font>
    <font>
      <b val="1"/>
      <color rgb="00006100"/>
    </font>
    <font>
      <b val="1"/>
      <color rgb="001F4E79"/>
      <sz val="18"/>
    </font>
    <font>
      <i val="1"/>
      <color rgb="00666666"/>
    </font>
    <font>
      <b val="1"/>
      <color rgb="00FFFFFF"/>
      <sz val="9"/>
    </font>
    <font>
      <b val="1"/>
      <color rgb="001F4E79"/>
      <sz val="14"/>
    </font>
    <font>
      <b val="1"/>
      <color rgb="001F4E79"/>
      <sz val="12"/>
    </font>
    <font>
      <b val="1"/>
      <color rgb="009C5700"/>
    </font>
    <font>
      <b val="1"/>
    </font>
    <font>
      <b val="1"/>
      <color rgb="001F4E79"/>
      <sz val="11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8D5F5"/>
        <bgColor rgb="00E8D5F5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8F0FE"/>
        <bgColor rgb="00E8F0FE"/>
      </patternFill>
    </fill>
  </fills>
  <borders count="11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1F4E79"/>
      </left>
      <right style="thin">
        <color rgb="00000000"/>
      </right>
      <top style="medium">
        <color rgb="001F4E79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1F4E79"/>
      </top>
      <bottom style="thin">
        <color rgb="00000000"/>
      </bottom>
    </border>
    <border>
      <left style="thin">
        <color rgb="00000000"/>
      </left>
      <right style="medium">
        <color rgb="001F4E79"/>
      </right>
      <top style="medium">
        <color rgb="001F4E79"/>
      </top>
      <bottom style="thin">
        <color rgb="00000000"/>
      </bottom>
    </border>
    <border>
      <left style="medium">
        <color rgb="001F4E79"/>
      </left>
      <right style="thin">
        <color rgb="00000000"/>
      </right>
      <top style="thin">
        <color rgb="00000000"/>
      </top>
      <bottom style="medium">
        <color rgb="001F4E79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1F4E79"/>
      </bottom>
    </border>
    <border>
      <left style="thin">
        <color rgb="00000000"/>
      </left>
      <right style="medium">
        <color rgb="001F4E79"/>
      </right>
      <top style="thin">
        <color rgb="00000000"/>
      </top>
      <bottom style="medium">
        <color rgb="001F4E79"/>
      </bottom>
    </border>
    <border>
      <left style="medium">
        <color rgb="001F4E79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1F4E79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0" fillId="3" borderId="2" applyAlignment="1" pivotButton="0" quotePrefix="0" xfId="0">
      <alignment horizontal="center"/>
    </xf>
    <xf numFmtId="0" fontId="0" fillId="3" borderId="2" pivotButton="0" quotePrefix="0" xfId="0"/>
    <xf numFmtId="0" fontId="0" fillId="3" borderId="2" applyAlignment="1" pivotButton="0" quotePrefix="0" xfId="0">
      <alignment wrapText="1"/>
    </xf>
    <xf numFmtId="164" fontId="0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2" pivotButton="0" quotePrefix="0" xfId="0"/>
    <xf numFmtId="0" fontId="0" fillId="4" borderId="2" applyAlignment="1" pivotButton="0" quotePrefix="0" xfId="0">
      <alignment wrapText="1"/>
    </xf>
    <xf numFmtId="164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2" pivotButton="0" quotePrefix="0" xfId="0"/>
    <xf numFmtId="165" fontId="0" fillId="5" borderId="2" pivotButton="0" quotePrefix="0" xfId="0"/>
    <xf numFmtId="164" fontId="0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6" borderId="2" pivotButton="0" quotePrefix="0" xfId="0"/>
    <xf numFmtId="165" fontId="0" fillId="6" borderId="2" pivotButton="0" quotePrefix="0" xfId="0"/>
    <xf numFmtId="164" fontId="0" fillId="6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7" borderId="2" pivotButton="0" quotePrefix="0" xfId="0"/>
    <xf numFmtId="165" fontId="0" fillId="7" borderId="2" pivotButton="0" quotePrefix="0" xfId="0"/>
    <xf numFmtId="164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8" borderId="2" pivotButton="0" quotePrefix="0" xfId="0"/>
    <xf numFmtId="165" fontId="0" fillId="8" borderId="2" pivotButton="0" quotePrefix="0" xfId="0"/>
    <xf numFmtId="164" fontId="0" fillId="8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0" fillId="9" borderId="2" pivotButton="0" quotePrefix="0" xfId="0"/>
    <xf numFmtId="165" fontId="0" fillId="9" borderId="2" pivotButton="0" quotePrefix="0" xfId="0"/>
    <xf numFmtId="164" fontId="0" fillId="9" borderId="2" applyAlignment="1" pivotButton="0" quotePrefix="0" xfId="0">
      <alignment horizontal="center"/>
    </xf>
    <xf numFmtId="165" fontId="0" fillId="5" borderId="2" pivotButton="0" quotePrefix="0" xfId="0"/>
    <xf numFmtId="165" fontId="0" fillId="6" borderId="2" pivotButton="0" quotePrefix="0" xfId="0"/>
    <xf numFmtId="165" fontId="0" fillId="7" borderId="2" pivotButton="0" quotePrefix="0" xfId="0"/>
    <xf numFmtId="165" fontId="0" fillId="8" borderId="2" pivotButton="0" quotePrefix="0" xfId="0"/>
    <xf numFmtId="165" fontId="0" fillId="9" borderId="2" pivotButton="0" quotePrefix="0" xfId="0"/>
    <xf numFmtId="0" fontId="2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0" fontId="7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0" fontId="7" fillId="12" borderId="0" applyAlignment="1" pivotButton="0" quotePrefix="0" xfId="0">
      <alignment horizontal="center"/>
    </xf>
    <xf numFmtId="0" fontId="7" fillId="13" borderId="0" applyAlignment="1" pivotButton="0" quotePrefix="0" xfId="0">
      <alignment horizontal="center"/>
    </xf>
    <xf numFmtId="0" fontId="7" fillId="14" borderId="0" applyAlignment="1" pivotButton="0" quotePrefix="0" xfId="0">
      <alignment horizontal="center"/>
    </xf>
    <xf numFmtId="165" fontId="0" fillId="3" borderId="2" pivotButton="0" quotePrefix="0" xfId="0"/>
    <xf numFmtId="0" fontId="3" fillId="10" borderId="2" pivotButton="0" quotePrefix="0" xfId="0"/>
    <xf numFmtId="166" fontId="0" fillId="3" borderId="2" pivotButton="0" quotePrefix="0" xfId="0"/>
    <xf numFmtId="165" fontId="0" fillId="4" borderId="2" pivotButton="0" quotePrefix="0" xfId="0"/>
    <xf numFmtId="166" fontId="0" fillId="4" borderId="2" pivotButton="0" quotePrefix="0" xfId="0"/>
    <xf numFmtId="0" fontId="8" fillId="8" borderId="2" pivotButton="0" quotePrefix="0" xfId="0"/>
    <xf numFmtId="0" fontId="9" fillId="14" borderId="2" pivotButton="0" quotePrefix="0" xfId="0"/>
    <xf numFmtId="166" fontId="0" fillId="3" borderId="2" pivotButton="0" quotePrefix="0" xfId="0"/>
    <xf numFmtId="166" fontId="0" fillId="4" borderId="2" pivotButton="0" quotePrefix="0" xfId="0"/>
    <xf numFmtId="164" fontId="0" fillId="3" borderId="2" pivotButton="0" quotePrefix="0" xfId="0"/>
    <xf numFmtId="9" fontId="0" fillId="3" borderId="2" pivotButton="0" quotePrefix="0" xfId="0"/>
    <xf numFmtId="0" fontId="10" fillId="10" borderId="2" pivotButton="0" quotePrefix="0" xfId="0"/>
    <xf numFmtId="164" fontId="0" fillId="4" borderId="2" pivotButton="0" quotePrefix="0" xfId="0"/>
    <xf numFmtId="9" fontId="0" fillId="4" borderId="2" pivotButton="0" quotePrefix="0" xfId="0"/>
    <xf numFmtId="0" fontId="5" fillId="12" borderId="2" pivotButton="0" quotePrefix="0" xfId="0"/>
    <xf numFmtId="0" fontId="6" fillId="14" borderId="2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165" fontId="12" fillId="0" borderId="0" pivotButton="0" quotePrefix="0" xfId="0"/>
    <xf numFmtId="0" fontId="13" fillId="2" borderId="3" applyAlignment="1" pivotButton="0" quotePrefix="0" xfId="0">
      <alignment horizontal="center" wrapText="1"/>
    </xf>
    <xf numFmtId="0" fontId="13" fillId="2" borderId="4" applyAlignment="1" pivotButton="0" quotePrefix="0" xfId="0">
      <alignment horizontal="center" wrapText="1"/>
    </xf>
    <xf numFmtId="0" fontId="13" fillId="2" borderId="5" applyAlignment="1" pivotButton="0" quotePrefix="0" xfId="0">
      <alignment horizontal="center" wrapText="1"/>
    </xf>
    <xf numFmtId="0" fontId="14" fillId="15" borderId="6" applyAlignment="1" pivotButton="0" quotePrefix="0" xfId="0">
      <alignment horizontal="center"/>
    </xf>
    <xf numFmtId="9" fontId="14" fillId="15" borderId="7" applyAlignment="1" pivotButton="0" quotePrefix="0" xfId="0">
      <alignment horizontal="center"/>
    </xf>
    <xf numFmtId="0" fontId="14" fillId="15" borderId="7" applyAlignment="1" pivotButton="0" quotePrefix="0" xfId="0">
      <alignment horizontal="center"/>
    </xf>
    <xf numFmtId="0" fontId="14" fillId="15" borderId="8" applyAlignment="1" pivotButton="0" quotePrefix="0" xfId="0">
      <alignment horizontal="center"/>
    </xf>
    <xf numFmtId="0" fontId="15" fillId="0" borderId="0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0" fillId="3" borderId="9" pivotButton="0" quotePrefix="0" xfId="0"/>
    <xf numFmtId="9" fontId="10" fillId="10" borderId="2" applyAlignment="1" pivotButton="0" quotePrefix="0" xfId="0">
      <alignment horizontal="center"/>
    </xf>
    <xf numFmtId="0" fontId="3" fillId="10" borderId="10" applyAlignment="1" pivotButton="0" quotePrefix="0" xfId="0">
      <alignment horizontal="center"/>
    </xf>
    <xf numFmtId="9" fontId="16" fillId="12" borderId="10" applyAlignment="1" pivotButton="0" quotePrefix="0" xfId="0">
      <alignment horizontal="center"/>
    </xf>
    <xf numFmtId="0" fontId="0" fillId="4" borderId="9" pivotButton="0" quotePrefix="0" xfId="0"/>
    <xf numFmtId="9" fontId="16" fillId="12" borderId="2" applyAlignment="1" pivotButton="0" quotePrefix="0" xfId="0">
      <alignment horizontal="center"/>
    </xf>
    <xf numFmtId="0" fontId="5" fillId="12" borderId="10" applyAlignment="1" pivotButton="0" quotePrefix="0" xfId="0">
      <alignment horizontal="center"/>
    </xf>
    <xf numFmtId="9" fontId="10" fillId="10" borderId="10" applyAlignment="1" pivotButton="0" quotePrefix="0" xfId="0">
      <alignment horizontal="center"/>
    </xf>
    <xf numFmtId="0" fontId="0" fillId="3" borderId="6" pivotButton="0" quotePrefix="0" xfId="0"/>
    <xf numFmtId="0" fontId="0" fillId="3" borderId="7" applyAlignment="1" pivotButton="0" quotePrefix="0" xfId="0">
      <alignment horizontal="center"/>
    </xf>
    <xf numFmtId="9" fontId="10" fillId="10" borderId="8" applyAlignment="1" pivotButton="0" quotePrefix="0" xfId="0">
      <alignment horizontal="center"/>
    </xf>
    <xf numFmtId="0" fontId="0" fillId="4" borderId="6" pivotButton="0" quotePrefix="0" xfId="0"/>
    <xf numFmtId="9" fontId="9" fillId="14" borderId="7" applyAlignment="1" pivotButton="0" quotePrefix="0" xfId="0">
      <alignment horizontal="center"/>
    </xf>
    <xf numFmtId="0" fontId="6" fillId="14" borderId="8" applyAlignment="1" pivotButton="0" quotePrefix="0" xfId="0">
      <alignment horizontal="center"/>
    </xf>
    <xf numFmtId="165" fontId="0" fillId="3" borderId="2" applyAlignment="1" pivotButton="0" quotePrefix="0" xfId="0">
      <alignment horizontal="center"/>
    </xf>
    <xf numFmtId="0" fontId="0" fillId="3" borderId="10" pivotButton="0" quotePrefix="0" xfId="0"/>
    <xf numFmtId="0" fontId="17" fillId="3" borderId="2" applyAlignment="1" pivotButton="0" quotePrefix="0" xfId="0">
      <alignment horizontal="center"/>
    </xf>
    <xf numFmtId="0" fontId="8" fillId="8" borderId="10" applyAlignment="1" pivotButton="0" quotePrefix="0" xfId="0">
      <alignment horizontal="center"/>
    </xf>
    <xf numFmtId="165" fontId="0" fillId="4" borderId="2" applyAlignment="1" pivotButton="0" quotePrefix="0" xfId="0">
      <alignment horizontal="center"/>
    </xf>
    <xf numFmtId="0" fontId="0" fillId="4" borderId="10" pivotButton="0" quotePrefix="0" xfId="0"/>
    <xf numFmtId="0" fontId="17" fillId="4" borderId="2" applyAlignment="1" pivotButton="0" quotePrefix="0" xfId="0">
      <alignment horizontal="center"/>
    </xf>
    <xf numFmtId="9" fontId="9" fillId="14" borderId="2" applyAlignment="1" pivotButton="0" quotePrefix="0" xfId="0">
      <alignment horizontal="center"/>
    </xf>
    <xf numFmtId="165" fontId="0" fillId="3" borderId="7" applyAlignment="1" pivotButton="0" quotePrefix="0" xfId="0">
      <alignment horizontal="center"/>
    </xf>
    <xf numFmtId="0" fontId="0" fillId="3" borderId="8" pivotButton="0" quotePrefix="0" xfId="0"/>
    <xf numFmtId="0" fontId="17" fillId="3" borderId="7" applyAlignment="1" pivotButton="0" quotePrefix="0" xfId="0">
      <alignment horizontal="center"/>
    </xf>
    <xf numFmtId="0" fontId="3" fillId="10" borderId="8" applyAlignment="1" pivotButton="0" quotePrefix="0" xfId="0">
      <alignment horizontal="center"/>
    </xf>
    <xf numFmtId="0" fontId="18" fillId="0" borderId="0" pivotButton="0" quotePrefix="0" xfId="0"/>
    <xf numFmtId="0" fontId="10" fillId="10" borderId="2" applyAlignment="1" pivotButton="0" quotePrefix="0" xfId="0">
      <alignment horizontal="center"/>
    </xf>
    <xf numFmtId="0" fontId="0" fillId="0" borderId="2" pivotButton="0" quotePrefix="0" xfId="0"/>
    <xf numFmtId="0" fontId="16" fillId="12" borderId="2" applyAlignment="1" pivotButton="0" quotePrefix="0" xfId="0">
      <alignment horizontal="center"/>
    </xf>
    <xf numFmtId="0" fontId="9" fillId="1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62" t="inlineStr">
        <is>
          <t>TRAINING CURRICULUM MATRIX — DASHBOARD</t>
        </is>
      </c>
    </row>
    <row r="2">
      <c r="A2" s="63" t="inlineStr">
        <is>
          <t>Last Updated:</t>
        </is>
      </c>
      <c r="B2" s="64" t="n">
        <v>46132</v>
      </c>
    </row>
    <row r="3"/>
    <row r="4" ht="35" customHeight="1">
      <c r="A4" s="65" t="inlineStr">
        <is>
          <t>Total Training Modules</t>
        </is>
      </c>
      <c r="B4" s="66" t="inlineStr">
        <is>
          <t>Overall Completion Rate</t>
        </is>
      </c>
      <c r="C4" s="66" t="inlineStr">
        <is>
          <t>Modules On Track</t>
        </is>
      </c>
      <c r="D4" s="66" t="inlineStr">
        <is>
          <t>Modules Behind Schedule</t>
        </is>
      </c>
      <c r="E4" s="66" t="inlineStr">
        <is>
          <t>Modules Not Started</t>
        </is>
      </c>
      <c r="F4" s="66" t="inlineStr">
        <is>
          <t>Average Assessment Score</t>
        </is>
      </c>
      <c r="G4" s="66" t="inlineStr">
        <is>
          <t>Certifications Current</t>
        </is>
      </c>
      <c r="H4" s="66" t="inlineStr">
        <is>
          <t>Certifications Expiring (30 days)</t>
        </is>
      </c>
      <c r="I4" s="67" t="inlineStr">
        <is>
          <t>Failed Assessments Requiring Retake</t>
        </is>
      </c>
    </row>
    <row r="5" ht="30" customHeight="1">
      <c r="A5" s="68" t="n">
        <v>30</v>
      </c>
      <c r="B5" s="69" t="n">
        <v>0.72</v>
      </c>
      <c r="C5" s="70" t="n">
        <v>22</v>
      </c>
      <c r="D5" s="70" t="n">
        <v>5</v>
      </c>
      <c r="E5" s="70" t="n">
        <v>3</v>
      </c>
      <c r="F5" s="69" t="n">
        <v>0.84</v>
      </c>
      <c r="G5" s="70" t="n">
        <v>32</v>
      </c>
      <c r="H5" s="70" t="n">
        <v>5</v>
      </c>
      <c r="I5" s="71" t="n">
        <v>4</v>
      </c>
    </row>
    <row r="6"/>
    <row r="7">
      <c r="A7" s="72" t="inlineStr">
        <is>
          <t>COMPLETION RATE BY CATEGORY</t>
        </is>
      </c>
      <c r="E7" s="72" t="inlineStr">
        <is>
          <t>COMPLETION BY ROLE</t>
        </is>
      </c>
    </row>
    <row r="8">
      <c r="A8" s="73" t="inlineStr">
        <is>
          <t>Category</t>
        </is>
      </c>
      <c r="B8" s="74" t="inlineStr">
        <is>
          <t>Completion Rate</t>
        </is>
      </c>
      <c r="C8" s="75" t="inlineStr">
        <is>
          <t>Status</t>
        </is>
      </c>
      <c r="E8" s="73" t="inlineStr">
        <is>
          <t>Role</t>
        </is>
      </c>
      <c r="F8" s="74" t="inlineStr">
        <is>
          <t>Headcount</t>
        </is>
      </c>
      <c r="G8" s="74" t="inlineStr">
        <is>
          <t>Avg Modules Required</t>
        </is>
      </c>
      <c r="H8" s="74" t="inlineStr">
        <is>
          <t>Avg Completed</t>
        </is>
      </c>
      <c r="I8" s="75" t="inlineStr">
        <is>
          <t>% Complete</t>
        </is>
      </c>
    </row>
    <row r="9">
      <c r="A9" s="76" t="inlineStr">
        <is>
          <t>Security &amp; Compliance</t>
        </is>
      </c>
      <c r="B9" s="77" t="n">
        <v>0.85</v>
      </c>
      <c r="C9" s="78" t="inlineStr">
        <is>
          <t>On Track</t>
        </is>
      </c>
      <c r="E9" s="76" t="inlineStr">
        <is>
          <t>Agent</t>
        </is>
      </c>
      <c r="F9" s="2" t="n">
        <v>12</v>
      </c>
      <c r="G9" s="2" t="n">
        <v>22</v>
      </c>
      <c r="H9" s="2" t="n">
        <v>15</v>
      </c>
      <c r="I9" s="79" t="n">
        <v>0.68</v>
      </c>
    </row>
    <row r="10">
      <c r="A10" s="80" t="inlineStr">
        <is>
          <t>Systems &amp; Technology</t>
        </is>
      </c>
      <c r="B10" s="81" t="n">
        <v>0.78</v>
      </c>
      <c r="C10" s="82" t="inlineStr">
        <is>
          <t>On Track</t>
        </is>
      </c>
      <c r="E10" s="80" t="inlineStr">
        <is>
          <t>Senior Agent</t>
        </is>
      </c>
      <c r="F10" s="6" t="n">
        <v>3</v>
      </c>
      <c r="G10" s="6" t="n">
        <v>26</v>
      </c>
      <c r="H10" s="6" t="n">
        <v>22</v>
      </c>
      <c r="I10" s="83" t="n">
        <v>0.85</v>
      </c>
    </row>
    <row r="11">
      <c r="A11" s="76" t="inlineStr">
        <is>
          <t>Operations &amp; Processes</t>
        </is>
      </c>
      <c r="B11" s="81" t="n">
        <v>0.7</v>
      </c>
      <c r="C11" s="82" t="inlineStr">
        <is>
          <t>Caution</t>
        </is>
      </c>
      <c r="E11" s="76" t="inlineStr">
        <is>
          <t>Team Lead</t>
        </is>
      </c>
      <c r="F11" s="2" t="n">
        <v>2</v>
      </c>
      <c r="G11" s="2" t="n">
        <v>24</v>
      </c>
      <c r="H11" s="2" t="n">
        <v>19</v>
      </c>
      <c r="I11" s="79" t="n">
        <v>0.79</v>
      </c>
    </row>
    <row r="12">
      <c r="A12" s="80" t="inlineStr">
        <is>
          <t>Customer Service</t>
        </is>
      </c>
      <c r="B12" s="81" t="n">
        <v>0.65</v>
      </c>
      <c r="C12" s="82" t="inlineStr">
        <is>
          <t>Caution</t>
        </is>
      </c>
      <c r="E12" s="80" t="inlineStr">
        <is>
          <t>Supervisor</t>
        </is>
      </c>
      <c r="F12" s="6" t="n">
        <v>1</v>
      </c>
      <c r="G12" s="6" t="n">
        <v>24</v>
      </c>
      <c r="H12" s="6" t="n">
        <v>21</v>
      </c>
      <c r="I12" s="83" t="n">
        <v>0.88</v>
      </c>
    </row>
    <row r="13">
      <c r="A13" s="76" t="inlineStr">
        <is>
          <t>Quality Assurance</t>
        </is>
      </c>
      <c r="B13" s="81" t="n">
        <v>0.6</v>
      </c>
      <c r="C13" s="82" t="inlineStr">
        <is>
          <t>Caution</t>
        </is>
      </c>
      <c r="E13" s="84" t="inlineStr">
        <is>
          <t>QA Analyst</t>
        </is>
      </c>
      <c r="F13" s="85" t="n">
        <v>2</v>
      </c>
      <c r="G13" s="85" t="n">
        <v>20</v>
      </c>
      <c r="H13" s="85" t="n">
        <v>16</v>
      </c>
      <c r="I13" s="86" t="n">
        <v>0.8</v>
      </c>
    </row>
    <row r="14">
      <c r="A14" s="87" t="inlineStr">
        <is>
          <t>Leadership &amp; Supervision</t>
        </is>
      </c>
      <c r="B14" s="88" t="n">
        <v>0.55</v>
      </c>
      <c r="C14" s="89" t="inlineStr">
        <is>
          <t>Behind</t>
        </is>
      </c>
    </row>
    <row r="15"/>
    <row r="16">
      <c r="A16" s="72" t="inlineStr">
        <is>
          <t>TRAINING PHASE STATUS</t>
        </is>
      </c>
      <c r="G16" s="72" t="inlineStr">
        <is>
          <t>ALERT SUMMARY</t>
        </is>
      </c>
    </row>
    <row r="17">
      <c r="A17" s="73" t="inlineStr">
        <is>
          <t>Training Phase</t>
        </is>
      </c>
      <c r="B17" s="74" t="inlineStr">
        <is>
          <t>% Complete</t>
        </is>
      </c>
      <c r="C17" s="74" t="inlineStr">
        <is>
          <t>Status</t>
        </is>
      </c>
      <c r="D17" s="74" t="inlineStr">
        <is>
          <t>Target Date</t>
        </is>
      </c>
      <c r="E17" s="75" t="inlineStr">
        <is>
          <t>Notes</t>
        </is>
      </c>
      <c r="G17" s="73" t="inlineStr">
        <is>
          <t>Alert Type</t>
        </is>
      </c>
      <c r="H17" s="74" t="inlineStr">
        <is>
          <t>Count</t>
        </is>
      </c>
      <c r="I17" s="75" t="inlineStr">
        <is>
          <t>Severity</t>
        </is>
      </c>
    </row>
    <row r="18">
      <c r="A18" s="76" t="inlineStr">
        <is>
          <t>Phase 1 — Pre-Boarding</t>
        </is>
      </c>
      <c r="B18" s="77" t="n">
        <v>1</v>
      </c>
      <c r="C18" s="2" t="inlineStr">
        <is>
          <t>Complete</t>
        </is>
      </c>
      <c r="D18" s="90" t="n">
        <v>46142</v>
      </c>
      <c r="E18" s="91" t="inlineStr">
        <is>
          <t>All modules delivered</t>
        </is>
      </c>
      <c r="G18" s="76" t="inlineStr">
        <is>
          <t>Overdue Trainings</t>
        </is>
      </c>
      <c r="H18" s="92" t="n">
        <v>2</v>
      </c>
      <c r="I18" s="93" t="inlineStr">
        <is>
          <t>High</t>
        </is>
      </c>
    </row>
    <row r="19">
      <c r="A19" s="80" t="inlineStr">
        <is>
          <t>Phase 2 — Orientation</t>
        </is>
      </c>
      <c r="B19" s="77" t="n">
        <v>0.9</v>
      </c>
      <c r="C19" s="6" t="inlineStr">
        <is>
          <t>On Track</t>
        </is>
      </c>
      <c r="D19" s="94" t="n">
        <v>46150</v>
      </c>
      <c r="E19" s="95" t="inlineStr">
        <is>
          <t>2 employees catching up</t>
        </is>
      </c>
      <c r="G19" s="80" t="inlineStr">
        <is>
          <t>Expiring Certifications</t>
        </is>
      </c>
      <c r="H19" s="96" t="n">
        <v>5</v>
      </c>
      <c r="I19" s="82" t="inlineStr">
        <is>
          <t>Medium</t>
        </is>
      </c>
    </row>
    <row r="20">
      <c r="A20" s="76" t="inlineStr">
        <is>
          <t>Phase 3 — Core Training</t>
        </is>
      </c>
      <c r="B20" s="81" t="n">
        <v>0.7</v>
      </c>
      <c r="C20" s="2" t="inlineStr">
        <is>
          <t>In Progress</t>
        </is>
      </c>
      <c r="D20" s="90" t="n">
        <v>46157</v>
      </c>
      <c r="E20" s="91" t="inlineStr">
        <is>
          <t>Key modules in delivery</t>
        </is>
      </c>
      <c r="G20" s="76" t="inlineStr">
        <is>
          <t>Failed Assessments</t>
        </is>
      </c>
      <c r="H20" s="92" t="n">
        <v>4</v>
      </c>
      <c r="I20" s="93" t="inlineStr">
        <is>
          <t>High</t>
        </is>
      </c>
    </row>
    <row r="21">
      <c r="A21" s="80" t="inlineStr">
        <is>
          <t>Phase 4 — Specialized</t>
        </is>
      </c>
      <c r="B21" s="97" t="n">
        <v>0.5</v>
      </c>
      <c r="C21" s="6" t="inlineStr">
        <is>
          <t>In Progress</t>
        </is>
      </c>
      <c r="D21" s="94" t="n">
        <v>46164</v>
      </c>
      <c r="E21" s="95" t="inlineStr">
        <is>
          <t>Starting Week 4</t>
        </is>
      </c>
      <c r="G21" s="80" t="inlineStr">
        <is>
          <t>Modules Behind Schedule</t>
        </is>
      </c>
      <c r="H21" s="96" t="n">
        <v>2</v>
      </c>
      <c r="I21" s="82" t="inlineStr">
        <is>
          <t>Medium</t>
        </is>
      </c>
    </row>
    <row r="22">
      <c r="A22" s="84" t="inlineStr">
        <is>
          <t>Phase 5 — OJT</t>
        </is>
      </c>
      <c r="B22" s="88" t="n">
        <v>0.3</v>
      </c>
      <c r="C22" s="85" t="inlineStr">
        <is>
          <t>Scheduled</t>
        </is>
      </c>
      <c r="D22" s="98" t="n">
        <v>46171</v>
      </c>
      <c r="E22" s="99" t="inlineStr">
        <is>
          <t>Begins Week 5</t>
        </is>
      </c>
      <c r="G22" s="84" t="inlineStr">
        <is>
          <t>Material Updates Required</t>
        </is>
      </c>
      <c r="H22" s="100" t="n">
        <v>1</v>
      </c>
      <c r="I22" s="101" t="inlineStr">
        <is>
          <t>Low</t>
        </is>
      </c>
    </row>
    <row r="23"/>
    <row r="24">
      <c r="A24" s="102" t="inlineStr">
        <is>
          <t>KEY</t>
        </is>
      </c>
    </row>
    <row r="25">
      <c r="A25" s="103" t="inlineStr">
        <is>
          <t>≥ 80%</t>
        </is>
      </c>
      <c r="B25" s="104" t="inlineStr">
        <is>
          <t>On Track / Good</t>
        </is>
      </c>
      <c r="C25" s="105" t="inlineStr">
        <is>
          <t>60-79%</t>
        </is>
      </c>
      <c r="D25" s="104" t="inlineStr">
        <is>
          <t>Caution / Monitor</t>
        </is>
      </c>
      <c r="E25" s="106" t="inlineStr">
        <is>
          <t>&lt; 60%</t>
        </is>
      </c>
      <c r="F25" s="104" t="inlineStr">
        <is>
          <t>Behind / At Risk</t>
        </is>
      </c>
    </row>
  </sheetData>
  <mergeCells count="6">
    <mergeCell ref="G16:I16"/>
    <mergeCell ref="E7:I7"/>
    <mergeCell ref="A16:E16"/>
    <mergeCell ref="A1:I1"/>
    <mergeCell ref="A7:C7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2" customWidth="1" min="4" max="4"/>
    <col width="40" customWidth="1" min="5" max="5"/>
    <col width="40" customWidth="1" min="6" max="6"/>
    <col width="22" customWidth="1" min="7" max="7"/>
    <col width="14" customWidth="1" min="8" max="8"/>
    <col width="20" customWidth="1" min="9" max="9"/>
    <col width="18" customWidth="1" min="10" max="10"/>
    <col width="18" customWidth="1" min="11" max="11"/>
    <col width="14" customWidth="1" min="12" max="12"/>
    <col width="16" customWidth="1" min="13" max="13"/>
    <col width="30" customWidth="1" min="14" max="14"/>
    <col width="18" customWidth="1" min="15" max="15"/>
    <col width="12" customWidth="1" min="16" max="16"/>
    <col width="14" customWidth="1" min="17" max="17"/>
  </cols>
  <sheetData>
    <row r="1">
      <c r="A1" s="1" t="inlineStr">
        <is>
          <t>Module ID</t>
        </is>
      </c>
      <c r="B1" s="1" t="inlineStr">
        <is>
          <t>Module Name</t>
        </is>
      </c>
      <c r="C1" s="1" t="inlineStr">
        <is>
          <t>Category</t>
        </is>
      </c>
      <c r="D1" s="1" t="inlineStr">
        <is>
          <t>Training Phase</t>
        </is>
      </c>
      <c r="E1" s="1" t="inlineStr">
        <is>
          <t>Description</t>
        </is>
      </c>
      <c r="F1" s="1" t="inlineStr">
        <is>
          <t>Learning Objectives</t>
        </is>
      </c>
      <c r="G1" s="1" t="inlineStr">
        <is>
          <t>Delivery Method</t>
        </is>
      </c>
      <c r="H1" s="1" t="inlineStr">
        <is>
          <t>Duration (hrs)</t>
        </is>
      </c>
      <c r="I1" s="1" t="inlineStr">
        <is>
          <t>Prerequisites</t>
        </is>
      </c>
      <c r="J1" s="1" t="inlineStr">
        <is>
          <t>Required For</t>
        </is>
      </c>
      <c r="K1" s="1" t="inlineStr">
        <is>
          <t>Assessment Type</t>
        </is>
      </c>
      <c r="L1" s="1" t="inlineStr">
        <is>
          <t>Passing Score (%)</t>
        </is>
      </c>
      <c r="M1" s="1" t="inlineStr">
        <is>
          <t>Recurrence</t>
        </is>
      </c>
      <c r="N1" s="1" t="inlineStr">
        <is>
          <t>Materials/Resources</t>
        </is>
      </c>
      <c r="O1" s="1" t="inlineStr">
        <is>
          <t>SME/Instructor</t>
        </is>
      </c>
      <c r="P1" s="1" t="inlineStr">
        <is>
          <t>Priority</t>
        </is>
      </c>
      <c r="Q1" s="1" t="inlineStr">
        <is>
          <t>Status</t>
        </is>
      </c>
    </row>
    <row r="2">
      <c r="A2" s="2" t="inlineStr">
        <is>
          <t>TRN-001</t>
        </is>
      </c>
      <c r="B2" s="3" t="inlineStr">
        <is>
          <t>CUI Handling &amp; Marking</t>
        </is>
      </c>
      <c r="C2" s="3" t="inlineStr">
        <is>
          <t>Security &amp; Compliance</t>
        </is>
      </c>
      <c r="D2" s="3" t="inlineStr">
        <is>
          <t>Phase 1 Pre-Boarding</t>
        </is>
      </c>
      <c r="E2" s="4" t="inlineStr">
        <is>
          <t>Training on proper handling, marking, and safeguarding of Controlled Unclassified Information</t>
        </is>
      </c>
      <c r="F2" s="4" t="inlineStr">
        <is>
          <t>Identify CUI categories; Apply correct markings; Follow dissemination controls</t>
        </is>
      </c>
      <c r="G2" s="3" t="inlineStr">
        <is>
          <t>eLearning</t>
        </is>
      </c>
      <c r="H2" s="5" t="n">
        <v>2</v>
      </c>
      <c r="I2" s="3" t="inlineStr">
        <is>
          <t>None</t>
        </is>
      </c>
      <c r="J2" s="3" t="inlineStr">
        <is>
          <t>All Staff</t>
        </is>
      </c>
      <c r="K2" s="3" t="inlineStr">
        <is>
          <t>Quiz</t>
        </is>
      </c>
      <c r="L2" s="2" t="n">
        <v>90</v>
      </c>
      <c r="M2" s="3" t="inlineStr">
        <is>
          <t>Annual</t>
        </is>
      </c>
      <c r="N2" s="3" t="inlineStr">
        <is>
          <t>CUI Marking Handbook, NARA CUI Registry</t>
        </is>
      </c>
      <c r="O2" s="3" t="inlineStr">
        <is>
          <t>J. Morrison</t>
        </is>
      </c>
      <c r="P2" s="3" t="inlineStr">
        <is>
          <t>Critical</t>
        </is>
      </c>
      <c r="Q2" s="3" t="inlineStr">
        <is>
          <t>Active</t>
        </is>
      </c>
    </row>
    <row r="3">
      <c r="A3" s="6" t="inlineStr">
        <is>
          <t>TRN-002</t>
        </is>
      </c>
      <c r="B3" s="7" t="inlineStr">
        <is>
          <t>NIST 800-171 Security Awareness</t>
        </is>
      </c>
      <c r="C3" s="7" t="inlineStr">
        <is>
          <t>Security &amp; Compliance</t>
        </is>
      </c>
      <c r="D3" s="7" t="inlineStr">
        <is>
          <t>Phase 1 Pre-Boarding</t>
        </is>
      </c>
      <c r="E3" s="8" t="inlineStr">
        <is>
          <t>Overview of NIST 800-171 security requirements for protecting CUI in nonfederal systems</t>
        </is>
      </c>
      <c r="F3" s="8" t="inlineStr">
        <is>
          <t>Understand NIST 800-171 families; Identify security controls; Report compliance gaps</t>
        </is>
      </c>
      <c r="G3" s="7" t="inlineStr">
        <is>
          <t>eLearning</t>
        </is>
      </c>
      <c r="H3" s="9" t="n">
        <v>1.5</v>
      </c>
      <c r="I3" s="7" t="inlineStr">
        <is>
          <t>None</t>
        </is>
      </c>
      <c r="J3" s="7" t="inlineStr">
        <is>
          <t>All Staff</t>
        </is>
      </c>
      <c r="K3" s="7" t="inlineStr">
        <is>
          <t>Quiz</t>
        </is>
      </c>
      <c r="L3" s="6" t="n">
        <v>85</v>
      </c>
      <c r="M3" s="7" t="inlineStr">
        <is>
          <t>Annual</t>
        </is>
      </c>
      <c r="N3" s="7" t="inlineStr">
        <is>
          <t>NIST SP 800-171 Rev 2, Security Policy Manual</t>
        </is>
      </c>
      <c r="O3" s="7" t="inlineStr">
        <is>
          <t>J. Morrison</t>
        </is>
      </c>
      <c r="P3" s="7" t="inlineStr">
        <is>
          <t>Critical</t>
        </is>
      </c>
      <c r="Q3" s="7" t="inlineStr">
        <is>
          <t>Active</t>
        </is>
      </c>
    </row>
    <row r="4">
      <c r="A4" s="2" t="inlineStr">
        <is>
          <t>TRN-003</t>
        </is>
      </c>
      <c r="B4" s="3" t="inlineStr">
        <is>
          <t>PII Protection</t>
        </is>
      </c>
      <c r="C4" s="3" t="inlineStr">
        <is>
          <t>Security &amp; Compliance</t>
        </is>
      </c>
      <c r="D4" s="3" t="inlineStr">
        <is>
          <t>Phase 1 Pre-Boarding</t>
        </is>
      </c>
      <c r="E4" s="4" t="inlineStr">
        <is>
          <t>Comprehensive training on identifying, handling, and protecting Personally Identifiable Information</t>
        </is>
      </c>
      <c r="F4" s="4" t="inlineStr">
        <is>
          <t>Define PII; Apply privacy safeguards; Respond to PII breaches</t>
        </is>
      </c>
      <c r="G4" s="3" t="inlineStr">
        <is>
          <t>eLearning</t>
        </is>
      </c>
      <c r="H4" s="5" t="n">
        <v>1</v>
      </c>
      <c r="I4" s="3" t="inlineStr">
        <is>
          <t>None</t>
        </is>
      </c>
      <c r="J4" s="3" t="inlineStr">
        <is>
          <t>All Staff</t>
        </is>
      </c>
      <c r="K4" s="3" t="inlineStr">
        <is>
          <t>Quiz</t>
        </is>
      </c>
      <c r="L4" s="2" t="n">
        <v>90</v>
      </c>
      <c r="M4" s="3" t="inlineStr">
        <is>
          <t>Annual</t>
        </is>
      </c>
      <c r="N4" s="3" t="inlineStr">
        <is>
          <t>Privacy Act Overview, PII Handling Guide</t>
        </is>
      </c>
      <c r="O4" s="3" t="inlineStr">
        <is>
          <t>S. Chen</t>
        </is>
      </c>
      <c r="P4" s="3" t="inlineStr">
        <is>
          <t>Critical</t>
        </is>
      </c>
      <c r="Q4" s="3" t="inlineStr">
        <is>
          <t>Active</t>
        </is>
      </c>
    </row>
    <row r="5">
      <c r="A5" s="6" t="inlineStr">
        <is>
          <t>TRN-004</t>
        </is>
      </c>
      <c r="B5" s="7" t="inlineStr">
        <is>
          <t>Insider Threat Awareness</t>
        </is>
      </c>
      <c r="C5" s="7" t="inlineStr">
        <is>
          <t>Security &amp; Compliance</t>
        </is>
      </c>
      <c r="D5" s="7" t="inlineStr">
        <is>
          <t>Phase 2 Orientation</t>
        </is>
      </c>
      <c r="E5" s="8" t="inlineStr">
        <is>
          <t>Recognizing and reporting potential insider threat indicators in a remote work environment</t>
        </is>
      </c>
      <c r="F5" s="8" t="inlineStr">
        <is>
          <t>Identify insider threat indicators; Understand reporting channels; Apply behavioral analysis</t>
        </is>
      </c>
      <c r="G5" s="7" t="inlineStr">
        <is>
          <t>Virtual Instructor-Led</t>
        </is>
      </c>
      <c r="H5" s="9" t="n">
        <v>2</v>
      </c>
      <c r="I5" s="7" t="inlineStr">
        <is>
          <t>TRN-001</t>
        </is>
      </c>
      <c r="J5" s="7" t="inlineStr">
        <is>
          <t>All Staff</t>
        </is>
      </c>
      <c r="K5" s="7" t="inlineStr">
        <is>
          <t>Quiz</t>
        </is>
      </c>
      <c r="L5" s="6" t="n">
        <v>80</v>
      </c>
      <c r="M5" s="7" t="inlineStr">
        <is>
          <t>Annual</t>
        </is>
      </c>
      <c r="N5" s="7" t="inlineStr">
        <is>
          <t>Insider Threat Program Guide, Case Studies</t>
        </is>
      </c>
      <c r="O5" s="7" t="inlineStr">
        <is>
          <t>S. Chen</t>
        </is>
      </c>
      <c r="P5" s="7" t="inlineStr">
        <is>
          <t>High</t>
        </is>
      </c>
      <c r="Q5" s="7" t="inlineStr">
        <is>
          <t>Active</t>
        </is>
      </c>
    </row>
    <row r="6">
      <c r="A6" s="2" t="inlineStr">
        <is>
          <t>TRN-005</t>
        </is>
      </c>
      <c r="B6" s="3" t="inlineStr">
        <is>
          <t>Incident Reporting Procedures</t>
        </is>
      </c>
      <c r="C6" s="3" t="inlineStr">
        <is>
          <t>Security &amp; Compliance</t>
        </is>
      </c>
      <c r="D6" s="3" t="inlineStr">
        <is>
          <t>Phase 2 Orientation</t>
        </is>
      </c>
      <c r="E6" s="4" t="inlineStr">
        <is>
          <t>Procedures for identifying, documenting, and reporting security incidents and data breaches</t>
        </is>
      </c>
      <c r="F6" s="4" t="inlineStr">
        <is>
          <t>Follow incident response steps; Document incidents properly; Use reporting tools</t>
        </is>
      </c>
      <c r="G6" s="3" t="inlineStr">
        <is>
          <t>Blended</t>
        </is>
      </c>
      <c r="H6" s="5" t="n">
        <v>1.5</v>
      </c>
      <c r="I6" s="3" t="inlineStr">
        <is>
          <t>TRN-001, TRN-003</t>
        </is>
      </c>
      <c r="J6" s="3" t="inlineStr">
        <is>
          <t>All Staff</t>
        </is>
      </c>
      <c r="K6" s="3" t="inlineStr">
        <is>
          <t>Practical Demo</t>
        </is>
      </c>
      <c r="L6" s="2" t="n">
        <v>85</v>
      </c>
      <c r="M6" s="3" t="inlineStr">
        <is>
          <t>Annual</t>
        </is>
      </c>
      <c r="N6" s="3" t="inlineStr">
        <is>
          <t>Incident Response Plan, Reporting Templates</t>
        </is>
      </c>
      <c r="O6" s="3" t="inlineStr">
        <is>
          <t>S. Chen</t>
        </is>
      </c>
      <c r="P6" s="3" t="inlineStr">
        <is>
          <t>High</t>
        </is>
      </c>
      <c r="Q6" s="3" t="inlineStr">
        <is>
          <t>Active</t>
        </is>
      </c>
    </row>
    <row r="7">
      <c r="A7" s="6" t="inlineStr">
        <is>
          <t>TRN-006</t>
        </is>
      </c>
      <c r="B7" s="7" t="inlineStr">
        <is>
          <t>Physical Security for Remote Workers</t>
        </is>
      </c>
      <c r="C7" s="7" t="inlineStr">
        <is>
          <t>Security &amp; Compliance</t>
        </is>
      </c>
      <c r="D7" s="7" t="inlineStr">
        <is>
          <t>Phase 1 Pre-Boarding</t>
        </is>
      </c>
      <c r="E7" s="8" t="inlineStr">
        <is>
          <t>Establishing and maintaining a secure remote work environment per contract requirements</t>
        </is>
      </c>
      <c r="F7" s="8" t="inlineStr">
        <is>
          <t>Set up secure workspace; Manage visitor access; Secure physical documents</t>
        </is>
      </c>
      <c r="G7" s="7" t="inlineStr">
        <is>
          <t>eLearning</t>
        </is>
      </c>
      <c r="H7" s="9" t="n">
        <v>1</v>
      </c>
      <c r="I7" s="7" t="inlineStr">
        <is>
          <t>None</t>
        </is>
      </c>
      <c r="J7" s="7" t="inlineStr">
        <is>
          <t>All Staff</t>
        </is>
      </c>
      <c r="K7" s="7" t="inlineStr">
        <is>
          <t>Quiz</t>
        </is>
      </c>
      <c r="L7" s="6" t="n">
        <v>85</v>
      </c>
      <c r="M7" s="7" t="inlineStr">
        <is>
          <t>Annual</t>
        </is>
      </c>
      <c r="N7" s="7" t="inlineStr">
        <is>
          <t>Remote Work Security Checklist, Home Office Guide</t>
        </is>
      </c>
      <c r="O7" s="7" t="inlineStr">
        <is>
          <t>J. Morrison</t>
        </is>
      </c>
      <c r="P7" s="7" t="inlineStr">
        <is>
          <t>High</t>
        </is>
      </c>
      <c r="Q7" s="7" t="inlineStr">
        <is>
          <t>Active</t>
        </is>
      </c>
    </row>
    <row r="8">
      <c r="A8" s="2" t="inlineStr">
        <is>
          <t>TRN-007</t>
        </is>
      </c>
      <c r="B8" s="3" t="inlineStr">
        <is>
          <t>VPN &amp; Secure Remote Access Setup</t>
        </is>
      </c>
      <c r="C8" s="3" t="inlineStr">
        <is>
          <t>Systems &amp; Technology</t>
        </is>
      </c>
      <c r="D8" s="3" t="inlineStr">
        <is>
          <t>Phase 1 Pre-Boarding</t>
        </is>
      </c>
      <c r="E8" s="4" t="inlineStr">
        <is>
          <t>Configuration and use of VPN, virtual desktop, and secure remote access tools</t>
        </is>
      </c>
      <c r="F8" s="4" t="inlineStr">
        <is>
          <t>Install and configure VPN; Troubleshoot connectivity; Follow access protocols</t>
        </is>
      </c>
      <c r="G8" s="3" t="inlineStr">
        <is>
          <t>Virtual Instructor-Led</t>
        </is>
      </c>
      <c r="H8" s="5" t="n">
        <v>2</v>
      </c>
      <c r="I8" s="3" t="inlineStr">
        <is>
          <t>TRN-012</t>
        </is>
      </c>
      <c r="J8" s="3" t="inlineStr">
        <is>
          <t>All Staff</t>
        </is>
      </c>
      <c r="K8" s="3" t="inlineStr">
        <is>
          <t>Practical Demo</t>
        </is>
      </c>
      <c r="L8" s="2" t="n">
        <v>100</v>
      </c>
      <c r="M8" s="3" t="inlineStr">
        <is>
          <t>One-Time</t>
        </is>
      </c>
      <c r="N8" s="3" t="inlineStr">
        <is>
          <t>VPN Setup Guide, Network Diagram, Troubleshooting FAQ</t>
        </is>
      </c>
      <c r="O8" s="3" t="inlineStr">
        <is>
          <t>M. Patel</t>
        </is>
      </c>
      <c r="P8" s="3" t="inlineStr">
        <is>
          <t>Critical</t>
        </is>
      </c>
      <c r="Q8" s="3" t="inlineStr">
        <is>
          <t>Active</t>
        </is>
      </c>
    </row>
    <row r="9">
      <c r="A9" s="6" t="inlineStr">
        <is>
          <t>TRN-008</t>
        </is>
      </c>
      <c r="B9" s="7" t="inlineStr">
        <is>
          <t>Case Management System Training</t>
        </is>
      </c>
      <c r="C9" s="7" t="inlineStr">
        <is>
          <t>Systems &amp; Technology</t>
        </is>
      </c>
      <c r="D9" s="7" t="inlineStr">
        <is>
          <t>Phase 3 Core Training</t>
        </is>
      </c>
      <c r="E9" s="8" t="inlineStr">
        <is>
          <t>In-depth training on the case management system used for processing and tracking cases</t>
        </is>
      </c>
      <c r="F9" s="8" t="inlineStr">
        <is>
          <t>Navigate CMS interface; Create and update cases; Generate reports; Apply workflow rules</t>
        </is>
      </c>
      <c r="G9" s="7" t="inlineStr">
        <is>
          <t>Blended</t>
        </is>
      </c>
      <c r="H9" s="9" t="n">
        <v>8</v>
      </c>
      <c r="I9" s="7" t="inlineStr">
        <is>
          <t>TRN-007, TRN-013</t>
        </is>
      </c>
      <c r="J9" s="7" t="inlineStr">
        <is>
          <t>Agents Only</t>
        </is>
      </c>
      <c r="K9" s="7" t="inlineStr">
        <is>
          <t>Practical Demo</t>
        </is>
      </c>
      <c r="L9" s="6" t="n">
        <v>80</v>
      </c>
      <c r="M9" s="7" t="inlineStr">
        <is>
          <t>One-Time</t>
        </is>
      </c>
      <c r="N9" s="7" t="inlineStr">
        <is>
          <t>CMS User Manual, Practice Environment Access</t>
        </is>
      </c>
      <c r="O9" s="7" t="inlineStr">
        <is>
          <t>M. Patel</t>
        </is>
      </c>
      <c r="P9" s="7" t="inlineStr">
        <is>
          <t>Critical</t>
        </is>
      </c>
      <c r="Q9" s="7" t="inlineStr">
        <is>
          <t>Active</t>
        </is>
      </c>
    </row>
    <row r="10">
      <c r="A10" s="2" t="inlineStr">
        <is>
          <t>TRN-009</t>
        </is>
      </c>
      <c r="B10" s="3" t="inlineStr">
        <is>
          <t>Collaboration Tools (Teams/SharePoint)</t>
        </is>
      </c>
      <c r="C10" s="3" t="inlineStr">
        <is>
          <t>Systems &amp; Technology</t>
        </is>
      </c>
      <c r="D10" s="3" t="inlineStr">
        <is>
          <t>Phase 2 Orientation</t>
        </is>
      </c>
      <c r="E10" s="4" t="inlineStr">
        <is>
          <t>Using Microsoft Teams, SharePoint, and other collaboration tools for remote teamwork</t>
        </is>
      </c>
      <c r="F10" s="4" t="inlineStr">
        <is>
          <t>Navigate Teams channels; Share documents in SharePoint; Use video conferencing</t>
        </is>
      </c>
      <c r="G10" s="3" t="inlineStr">
        <is>
          <t>eLearning</t>
        </is>
      </c>
      <c r="H10" s="5" t="n">
        <v>1.5</v>
      </c>
      <c r="I10" s="3" t="inlineStr">
        <is>
          <t>TRN-007</t>
        </is>
      </c>
      <c r="J10" s="3" t="inlineStr">
        <is>
          <t>All Staff</t>
        </is>
      </c>
      <c r="K10" s="3" t="inlineStr">
        <is>
          <t>None</t>
        </is>
      </c>
      <c r="L10" s="2" t="inlineStr">
        <is>
          <t>N/A</t>
        </is>
      </c>
      <c r="M10" s="3" t="inlineStr">
        <is>
          <t>One-Time</t>
        </is>
      </c>
      <c r="N10" s="3" t="inlineStr">
        <is>
          <t>Teams Quick Start Guide, SharePoint Navigation Guide</t>
        </is>
      </c>
      <c r="O10" s="3" t="inlineStr">
        <is>
          <t>R. Williams</t>
        </is>
      </c>
      <c r="P10" s="3" t="inlineStr">
        <is>
          <t>Medium</t>
        </is>
      </c>
      <c r="Q10" s="3" t="inlineStr">
        <is>
          <t>Active</t>
        </is>
      </c>
    </row>
    <row r="11">
      <c r="A11" s="6" t="inlineStr">
        <is>
          <t>TRN-010</t>
        </is>
      </c>
      <c r="B11" s="7" t="inlineStr">
        <is>
          <t>Secure Document Management</t>
        </is>
      </c>
      <c r="C11" s="7" t="inlineStr">
        <is>
          <t>Systems &amp; Technology</t>
        </is>
      </c>
      <c r="D11" s="7" t="inlineStr">
        <is>
          <t>Phase 2 Orientation</t>
        </is>
      </c>
      <c r="E11" s="8" t="inlineStr">
        <is>
          <t>Proper handling, storage, and transmission of documents in secure digital environments</t>
        </is>
      </c>
      <c r="F11" s="8" t="inlineStr">
        <is>
          <t>Apply document classification; Use encrypted storage; Follow transmission protocols</t>
        </is>
      </c>
      <c r="G11" s="7" t="inlineStr">
        <is>
          <t>Virtual Instructor-Led</t>
        </is>
      </c>
      <c r="H11" s="9" t="n">
        <v>2</v>
      </c>
      <c r="I11" s="7" t="inlineStr">
        <is>
          <t>TRN-001, TRN-007</t>
        </is>
      </c>
      <c r="J11" s="7" t="inlineStr">
        <is>
          <t>All Staff</t>
        </is>
      </c>
      <c r="K11" s="7" t="inlineStr">
        <is>
          <t>Quiz</t>
        </is>
      </c>
      <c r="L11" s="6" t="n">
        <v>80</v>
      </c>
      <c r="M11" s="7" t="inlineStr">
        <is>
          <t>Annual</t>
        </is>
      </c>
      <c r="N11" s="7" t="inlineStr">
        <is>
          <t>Document Handling SOP, Classification Guide</t>
        </is>
      </c>
      <c r="O11" s="7" t="inlineStr">
        <is>
          <t>M. Patel</t>
        </is>
      </c>
      <c r="P11" s="7" t="inlineStr">
        <is>
          <t>High</t>
        </is>
      </c>
      <c r="Q11" s="7" t="inlineStr">
        <is>
          <t>Active</t>
        </is>
      </c>
    </row>
    <row r="12">
      <c r="A12" s="2" t="inlineStr">
        <is>
          <t>TRN-011</t>
        </is>
      </c>
      <c r="B12" s="3" t="inlineStr">
        <is>
          <t>Reporting &amp; Analytics Tools</t>
        </is>
      </c>
      <c r="C12" s="3" t="inlineStr">
        <is>
          <t>Systems &amp; Technology</t>
        </is>
      </c>
      <c r="D12" s="3" t="inlineStr">
        <is>
          <t>Phase 4 Specialized</t>
        </is>
      </c>
      <c r="E12" s="4" t="inlineStr">
        <is>
          <t>Advanced training on reporting dashboards, analytics tools, and data visualization</t>
        </is>
      </c>
      <c r="F12" s="4" t="inlineStr">
        <is>
          <t>Build custom reports; Interpret analytics dashboards; Export data for analysis</t>
        </is>
      </c>
      <c r="G12" s="3" t="inlineStr">
        <is>
          <t>Virtual Instructor-Led</t>
        </is>
      </c>
      <c r="H12" s="5" t="n">
        <v>3</v>
      </c>
      <c r="I12" s="3" t="inlineStr">
        <is>
          <t>TRN-008, TRN-010</t>
        </is>
      </c>
      <c r="J12" s="3" t="inlineStr">
        <is>
          <t>Team Leads+</t>
        </is>
      </c>
      <c r="K12" s="3" t="inlineStr">
        <is>
          <t>Practical Demo</t>
        </is>
      </c>
      <c r="L12" s="2" t="n">
        <v>80</v>
      </c>
      <c r="M12" s="3" t="inlineStr">
        <is>
          <t>One-Time</t>
        </is>
      </c>
      <c r="N12" s="3" t="inlineStr">
        <is>
          <t>Analytics Platform User Guide, Report Templates</t>
        </is>
      </c>
      <c r="O12" s="3" t="inlineStr">
        <is>
          <t>M. Patel</t>
        </is>
      </c>
      <c r="P12" s="3" t="inlineStr">
        <is>
          <t>Medium</t>
        </is>
      </c>
      <c r="Q12" s="3" t="inlineStr">
        <is>
          <t>Active</t>
        </is>
      </c>
    </row>
    <row r="13">
      <c r="A13" s="6" t="inlineStr">
        <is>
          <t>TRN-012</t>
        </is>
      </c>
      <c r="B13" s="7" t="inlineStr">
        <is>
          <t>Multi-Factor Authentication &amp; Account Security</t>
        </is>
      </c>
      <c r="C13" s="7" t="inlineStr">
        <is>
          <t>Systems &amp; Technology</t>
        </is>
      </c>
      <c r="D13" s="7" t="inlineStr">
        <is>
          <t>Phase 1 Pre-Boarding</t>
        </is>
      </c>
      <c r="E13" s="8" t="inlineStr">
        <is>
          <t>Setting up MFA, managing credentials, and maintaining account security</t>
        </is>
      </c>
      <c r="F13" s="8" t="inlineStr">
        <is>
          <t>Configure MFA; Manage secure passwords; Recognize phishing attempts</t>
        </is>
      </c>
      <c r="G13" s="7" t="inlineStr">
        <is>
          <t>eLearning</t>
        </is>
      </c>
      <c r="H13" s="9" t="n">
        <v>0.5</v>
      </c>
      <c r="I13" s="7" t="inlineStr">
        <is>
          <t>None</t>
        </is>
      </c>
      <c r="J13" s="7" t="inlineStr">
        <is>
          <t>All Staff</t>
        </is>
      </c>
      <c r="K13" s="7" t="inlineStr">
        <is>
          <t>Quiz</t>
        </is>
      </c>
      <c r="L13" s="6" t="n">
        <v>100</v>
      </c>
      <c r="M13" s="7" t="inlineStr">
        <is>
          <t>Annual</t>
        </is>
      </c>
      <c r="N13" s="7" t="inlineStr">
        <is>
          <t>MFA Setup Guide, Password Policy Document</t>
        </is>
      </c>
      <c r="O13" s="7" t="inlineStr">
        <is>
          <t>R. Williams</t>
        </is>
      </c>
      <c r="P13" s="7" t="inlineStr">
        <is>
          <t>Critical</t>
        </is>
      </c>
      <c r="Q13" s="7" t="inlineStr">
        <is>
          <t>Active</t>
        </is>
      </c>
    </row>
    <row r="14">
      <c r="A14" s="2" t="inlineStr">
        <is>
          <t>TRN-013</t>
        </is>
      </c>
      <c r="B14" s="3" t="inlineStr">
        <is>
          <t>Standard Operating Procedures Overview</t>
        </is>
      </c>
      <c r="C14" s="3" t="inlineStr">
        <is>
          <t>Operations &amp; Processes</t>
        </is>
      </c>
      <c r="D14" s="3" t="inlineStr">
        <is>
          <t>Phase 3 Core Training</t>
        </is>
      </c>
      <c r="E14" s="4" t="inlineStr">
        <is>
          <t>Comprehensive review of all standard operating procedures for daily operations</t>
        </is>
      </c>
      <c r="F14" s="4" t="inlineStr">
        <is>
          <t>Understand operational workflows; Apply SOPs to daily tasks; Identify process exceptions</t>
        </is>
      </c>
      <c r="G14" s="3" t="inlineStr">
        <is>
          <t>Virtual Instructor-Led</t>
        </is>
      </c>
      <c r="H14" s="5" t="n">
        <v>4</v>
      </c>
      <c r="I14" s="3" t="inlineStr">
        <is>
          <t>TRN-006, TRN-007</t>
        </is>
      </c>
      <c r="J14" s="3" t="inlineStr">
        <is>
          <t>All Staff</t>
        </is>
      </c>
      <c r="K14" s="3" t="inlineStr">
        <is>
          <t>Quiz</t>
        </is>
      </c>
      <c r="L14" s="2" t="n">
        <v>80</v>
      </c>
      <c r="M14" s="3" t="inlineStr">
        <is>
          <t>One-Time</t>
        </is>
      </c>
      <c r="N14" s="3" t="inlineStr">
        <is>
          <t>SOP Manual, Process Flow Charts, Quick Reference Cards</t>
        </is>
      </c>
      <c r="O14" s="3" t="inlineStr">
        <is>
          <t>L. Thompson</t>
        </is>
      </c>
      <c r="P14" s="3" t="inlineStr">
        <is>
          <t>Critical</t>
        </is>
      </c>
      <c r="Q14" s="3" t="inlineStr">
        <is>
          <t>Active</t>
        </is>
      </c>
    </row>
    <row r="15">
      <c r="A15" s="6" t="inlineStr">
        <is>
          <t>TRN-014</t>
        </is>
      </c>
      <c r="B15" s="7" t="inlineStr">
        <is>
          <t>Workflow &amp; Escalation Procedures</t>
        </is>
      </c>
      <c r="C15" s="7" t="inlineStr">
        <is>
          <t>Operations &amp; Processes</t>
        </is>
      </c>
      <c r="D15" s="7" t="inlineStr">
        <is>
          <t>Phase 3 Core Training</t>
        </is>
      </c>
      <c r="E15" s="8" t="inlineStr">
        <is>
          <t>Understanding case workflows, escalation paths, and exception handling procedures</t>
        </is>
      </c>
      <c r="F15" s="8" t="inlineStr">
        <is>
          <t>Follow escalation matrix; Document escalations; Apply priority classifications</t>
        </is>
      </c>
      <c r="G15" s="7" t="inlineStr">
        <is>
          <t>Blended</t>
        </is>
      </c>
      <c r="H15" s="9" t="n">
        <v>3</v>
      </c>
      <c r="I15" s="7" t="inlineStr">
        <is>
          <t>TRN-013</t>
        </is>
      </c>
      <c r="J15" s="7" t="inlineStr">
        <is>
          <t>All Staff</t>
        </is>
      </c>
      <c r="K15" s="7" t="inlineStr">
        <is>
          <t>Practical Demo</t>
        </is>
      </c>
      <c r="L15" s="6" t="n">
        <v>80</v>
      </c>
      <c r="M15" s="7" t="inlineStr">
        <is>
          <t>One-Time</t>
        </is>
      </c>
      <c r="N15" s="7" t="inlineStr">
        <is>
          <t>Escalation Matrix, Workflow Diagrams</t>
        </is>
      </c>
      <c r="O15" s="7" t="inlineStr">
        <is>
          <t>L. Thompson</t>
        </is>
      </c>
      <c r="P15" s="7" t="inlineStr">
        <is>
          <t>High</t>
        </is>
      </c>
      <c r="Q15" s="7" t="inlineStr">
        <is>
          <t>Active</t>
        </is>
      </c>
    </row>
    <row r="16">
      <c r="A16" s="2" t="inlineStr">
        <is>
          <t>TRN-015</t>
        </is>
      </c>
      <c r="B16" s="3" t="inlineStr">
        <is>
          <t>Time &amp; Attendance Reporting</t>
        </is>
      </c>
      <c r="C16" s="3" t="inlineStr">
        <is>
          <t>Operations &amp; Processes</t>
        </is>
      </c>
      <c r="D16" s="3" t="inlineStr">
        <is>
          <t>Phase 2 Orientation</t>
        </is>
      </c>
      <c r="E16" s="4" t="inlineStr">
        <is>
          <t>Using timekeeping systems, reporting procedures, and leave management</t>
        </is>
      </c>
      <c r="F16" s="4" t="inlineStr">
        <is>
          <t>Submit accurate timesheets; Request leave properly; Understand overtime policies</t>
        </is>
      </c>
      <c r="G16" s="3" t="inlineStr">
        <is>
          <t>eLearning</t>
        </is>
      </c>
      <c r="H16" s="5" t="n">
        <v>1</v>
      </c>
      <c r="I16" s="3" t="inlineStr">
        <is>
          <t>None</t>
        </is>
      </c>
      <c r="J16" s="3" t="inlineStr">
        <is>
          <t>All Staff</t>
        </is>
      </c>
      <c r="K16" s="3" t="inlineStr">
        <is>
          <t>None</t>
        </is>
      </c>
      <c r="L16" s="2" t="inlineStr">
        <is>
          <t>N/A</t>
        </is>
      </c>
      <c r="M16" s="3" t="inlineStr">
        <is>
          <t>One-Time</t>
        </is>
      </c>
      <c r="N16" s="3" t="inlineStr">
        <is>
          <t>Timesheet Guide, Leave Policy Document</t>
        </is>
      </c>
      <c r="O16" s="3" t="inlineStr">
        <is>
          <t>A. Garcia</t>
        </is>
      </c>
      <c r="P16" s="3" t="inlineStr">
        <is>
          <t>Medium</t>
        </is>
      </c>
      <c r="Q16" s="3" t="inlineStr">
        <is>
          <t>Active</t>
        </is>
      </c>
    </row>
    <row r="17">
      <c r="A17" s="6" t="inlineStr">
        <is>
          <t>TRN-016</t>
        </is>
      </c>
      <c r="B17" s="7" t="inlineStr">
        <is>
          <t>Contract Compliance &amp; SLA Awareness</t>
        </is>
      </c>
      <c r="C17" s="7" t="inlineStr">
        <is>
          <t>Operations &amp; Processes</t>
        </is>
      </c>
      <c r="D17" s="7" t="inlineStr">
        <is>
          <t>Phase 3 Core Training</t>
        </is>
      </c>
      <c r="E17" s="8" t="inlineStr">
        <is>
          <t>Understanding contract requirements, service level agreements, and performance metrics</t>
        </is>
      </c>
      <c r="F17" s="8" t="inlineStr">
        <is>
          <t>Identify key SLAs; Monitor performance targets; Report compliance issues</t>
        </is>
      </c>
      <c r="G17" s="7" t="inlineStr">
        <is>
          <t>Virtual Instructor-Led</t>
        </is>
      </c>
      <c r="H17" s="9" t="n">
        <v>2</v>
      </c>
      <c r="I17" s="7" t="inlineStr">
        <is>
          <t>TRN-013</t>
        </is>
      </c>
      <c r="J17" s="7" t="inlineStr">
        <is>
          <t>All Staff</t>
        </is>
      </c>
      <c r="K17" s="7" t="inlineStr">
        <is>
          <t>Quiz</t>
        </is>
      </c>
      <c r="L17" s="6" t="n">
        <v>85</v>
      </c>
      <c r="M17" s="7" t="inlineStr">
        <is>
          <t>Semi-Annual</t>
        </is>
      </c>
      <c r="N17" s="7" t="inlineStr">
        <is>
          <t>Contract Summary, SLA Dashboard Guide, KPI Definitions</t>
        </is>
      </c>
      <c r="O17" s="7" t="inlineStr">
        <is>
          <t>L. Thompson</t>
        </is>
      </c>
      <c r="P17" s="7" t="inlineStr">
        <is>
          <t>High</t>
        </is>
      </c>
      <c r="Q17" s="7" t="inlineStr">
        <is>
          <t>Active</t>
        </is>
      </c>
    </row>
    <row r="18">
      <c r="A18" s="2" t="inlineStr">
        <is>
          <t>TRN-017</t>
        </is>
      </c>
      <c r="B18" s="3" t="inlineStr">
        <is>
          <t>Records Management &amp; Retention</t>
        </is>
      </c>
      <c r="C18" s="3" t="inlineStr">
        <is>
          <t>Operations &amp; Processes</t>
        </is>
      </c>
      <c r="D18" s="3" t="inlineStr">
        <is>
          <t>Phase 3 Core Training</t>
        </is>
      </c>
      <c r="E18" s="4" t="inlineStr">
        <is>
          <t>Federal records management requirements, retention schedules, and disposal procedures</t>
        </is>
      </c>
      <c r="F18" s="4" t="inlineStr">
        <is>
          <t>Apply retention schedules; Manage electronic records; Follow disposal procedures</t>
        </is>
      </c>
      <c r="G18" s="3" t="inlineStr">
        <is>
          <t>eLearning</t>
        </is>
      </c>
      <c r="H18" s="5" t="n">
        <v>1.5</v>
      </c>
      <c r="I18" s="3" t="inlineStr">
        <is>
          <t>TRN-001, TRN-010</t>
        </is>
      </c>
      <c r="J18" s="3" t="inlineStr">
        <is>
          <t>All Staff</t>
        </is>
      </c>
      <c r="K18" s="3" t="inlineStr">
        <is>
          <t>Quiz</t>
        </is>
      </c>
      <c r="L18" s="2" t="n">
        <v>80</v>
      </c>
      <c r="M18" s="3" t="inlineStr">
        <is>
          <t>Annual</t>
        </is>
      </c>
      <c r="N18" s="3" t="inlineStr">
        <is>
          <t>Records Retention Schedule, NARA Guidelines</t>
        </is>
      </c>
      <c r="O18" s="3" t="inlineStr">
        <is>
          <t>A. Garcia</t>
        </is>
      </c>
      <c r="P18" s="3" t="inlineStr">
        <is>
          <t>Medium</t>
        </is>
      </c>
      <c r="Q18" s="3" t="inlineStr">
        <is>
          <t>Active</t>
        </is>
      </c>
    </row>
    <row r="19">
      <c r="A19" s="6" t="inlineStr">
        <is>
          <t>TRN-018</t>
        </is>
      </c>
      <c r="B19" s="7" t="inlineStr">
        <is>
          <t>Telework Policy &amp; Expectations</t>
        </is>
      </c>
      <c r="C19" s="7" t="inlineStr">
        <is>
          <t>Operations &amp; Processes</t>
        </is>
      </c>
      <c r="D19" s="7" t="inlineStr">
        <is>
          <t>Phase 1 Pre-Boarding</t>
        </is>
      </c>
      <c r="E19" s="8" t="inlineStr">
        <is>
          <t>Remote work policies, expectations, performance standards, and work-life balance</t>
        </is>
      </c>
      <c r="F19" s="8" t="inlineStr">
        <is>
          <t>Understand telework agreement; Set up compliant workspace; Follow availability requirements</t>
        </is>
      </c>
      <c r="G19" s="7" t="inlineStr">
        <is>
          <t>Self-Paced</t>
        </is>
      </c>
      <c r="H19" s="9" t="n">
        <v>1</v>
      </c>
      <c r="I19" s="7" t="inlineStr">
        <is>
          <t>None</t>
        </is>
      </c>
      <c r="J19" s="7" t="inlineStr">
        <is>
          <t>All Staff</t>
        </is>
      </c>
      <c r="K19" s="7" t="inlineStr">
        <is>
          <t>None</t>
        </is>
      </c>
      <c r="L19" s="6" t="inlineStr">
        <is>
          <t>N/A</t>
        </is>
      </c>
      <c r="M19" s="7" t="inlineStr">
        <is>
          <t>One-Time</t>
        </is>
      </c>
      <c r="N19" s="7" t="inlineStr">
        <is>
          <t>Telework Agreement, Remote Work Policy, FAQ</t>
        </is>
      </c>
      <c r="O19" s="7" t="inlineStr">
        <is>
          <t>A. Garcia</t>
        </is>
      </c>
      <c r="P19" s="7" t="inlineStr">
        <is>
          <t>High</t>
        </is>
      </c>
      <c r="Q19" s="7" t="inlineStr">
        <is>
          <t>Active</t>
        </is>
      </c>
    </row>
    <row r="20">
      <c r="A20" s="2" t="inlineStr">
        <is>
          <t>TRN-019</t>
        </is>
      </c>
      <c r="B20" s="3" t="inlineStr">
        <is>
          <t>Customer Service Excellence</t>
        </is>
      </c>
      <c r="C20" s="3" t="inlineStr">
        <is>
          <t>Customer Service</t>
        </is>
      </c>
      <c r="D20" s="3" t="inlineStr">
        <is>
          <t>Phase 3 Core Training</t>
        </is>
      </c>
      <c r="E20" s="4" t="inlineStr">
        <is>
          <t>Foundational customer service skills for government contact center operations</t>
        </is>
      </c>
      <c r="F20" s="4" t="inlineStr">
        <is>
          <t>Apply active listening; Use professional communication; Resolve inquiries efficiently</t>
        </is>
      </c>
      <c r="G20" s="3" t="inlineStr">
        <is>
          <t>Virtual Instructor-Led</t>
        </is>
      </c>
      <c r="H20" s="5" t="n">
        <v>4</v>
      </c>
      <c r="I20" s="3" t="inlineStr">
        <is>
          <t>TRN-013</t>
        </is>
      </c>
      <c r="J20" s="3" t="inlineStr">
        <is>
          <t>Agents Only</t>
        </is>
      </c>
      <c r="K20" s="3" t="inlineStr">
        <is>
          <t>Observation</t>
        </is>
      </c>
      <c r="L20" s="2" t="n">
        <v>80</v>
      </c>
      <c r="M20" s="3" t="inlineStr">
        <is>
          <t>One-Time</t>
        </is>
      </c>
      <c r="N20" s="3" t="inlineStr">
        <is>
          <t>Customer Service Handbook, Call Scripts, Scenario Library</t>
        </is>
      </c>
      <c r="O20" s="3" t="inlineStr">
        <is>
          <t>D. Robinson</t>
        </is>
      </c>
      <c r="P20" s="3" t="inlineStr">
        <is>
          <t>High</t>
        </is>
      </c>
      <c r="Q20" s="3" t="inlineStr">
        <is>
          <t>Active</t>
        </is>
      </c>
    </row>
    <row r="21">
      <c r="A21" s="6" t="inlineStr">
        <is>
          <t>TRN-020</t>
        </is>
      </c>
      <c r="B21" s="7" t="inlineStr">
        <is>
          <t>Difficult Caller Handling &amp; De-escalation</t>
        </is>
      </c>
      <c r="C21" s="7" t="inlineStr">
        <is>
          <t>Customer Service</t>
        </is>
      </c>
      <c r="D21" s="7" t="inlineStr">
        <is>
          <t>Phase 4 Specialized</t>
        </is>
      </c>
      <c r="E21" s="8" t="inlineStr">
        <is>
          <t>Advanced techniques for managing difficult interactions and de-escalating tense situations</t>
        </is>
      </c>
      <c r="F21" s="8" t="inlineStr">
        <is>
          <t>Apply de-escalation techniques; Manage emotional callers; Know when to escalate</t>
        </is>
      </c>
      <c r="G21" s="7" t="inlineStr">
        <is>
          <t>Virtual Instructor-Led</t>
        </is>
      </c>
      <c r="H21" s="9" t="n">
        <v>3</v>
      </c>
      <c r="I21" s="7" t="inlineStr">
        <is>
          <t>TRN-019</t>
        </is>
      </c>
      <c r="J21" s="7" t="inlineStr">
        <is>
          <t>Agents Only</t>
        </is>
      </c>
      <c r="K21" s="7" t="inlineStr">
        <is>
          <t>Practical Demo</t>
        </is>
      </c>
      <c r="L21" s="6" t="n">
        <v>80</v>
      </c>
      <c r="M21" s="7" t="inlineStr">
        <is>
          <t>Semi-Annual</t>
        </is>
      </c>
      <c r="N21" s="7" t="inlineStr">
        <is>
          <t>De-escalation Guide, Role-Play Scenarios</t>
        </is>
      </c>
      <c r="O21" s="7" t="inlineStr">
        <is>
          <t>D. Robinson</t>
        </is>
      </c>
      <c r="P21" s="7" t="inlineStr">
        <is>
          <t>High</t>
        </is>
      </c>
      <c r="Q21" s="7" t="inlineStr">
        <is>
          <t>Active</t>
        </is>
      </c>
    </row>
    <row r="22">
      <c r="A22" s="2" t="inlineStr">
        <is>
          <t>TRN-021</t>
        </is>
      </c>
      <c r="B22" s="3" t="inlineStr">
        <is>
          <t>Communication Standards &amp; Etiquette</t>
        </is>
      </c>
      <c r="C22" s="3" t="inlineStr">
        <is>
          <t>Customer Service</t>
        </is>
      </c>
      <c r="D22" s="3" t="inlineStr">
        <is>
          <t>Phase 3 Core Training</t>
        </is>
      </c>
      <c r="E22" s="4" t="inlineStr">
        <is>
          <t>Professional communication standards for phone, email, and chat interactions</t>
        </is>
      </c>
      <c r="F22" s="4" t="inlineStr">
        <is>
          <t>Follow communication templates; Apply tone and language guidelines; Document interactions</t>
        </is>
      </c>
      <c r="G22" s="3" t="inlineStr">
        <is>
          <t>Blended</t>
        </is>
      </c>
      <c r="H22" s="5" t="n">
        <v>2</v>
      </c>
      <c r="I22" s="3" t="inlineStr">
        <is>
          <t>TRN-013</t>
        </is>
      </c>
      <c r="J22" s="3" t="inlineStr">
        <is>
          <t>Agents Only</t>
        </is>
      </c>
      <c r="K22" s="3" t="inlineStr">
        <is>
          <t>Observation</t>
        </is>
      </c>
      <c r="L22" s="2" t="n">
        <v>80</v>
      </c>
      <c r="M22" s="3" t="inlineStr">
        <is>
          <t>One-Time</t>
        </is>
      </c>
      <c r="N22" s="3" t="inlineStr">
        <is>
          <t>Communication Style Guide, Email Templates, Chat Guidelines</t>
        </is>
      </c>
      <c r="O22" s="3" t="inlineStr">
        <is>
          <t>D. Robinson</t>
        </is>
      </c>
      <c r="P22" s="3" t="inlineStr">
        <is>
          <t>Medium</t>
        </is>
      </c>
      <c r="Q22" s="3" t="inlineStr">
        <is>
          <t>Active</t>
        </is>
      </c>
    </row>
    <row r="23">
      <c r="A23" s="6" t="inlineStr">
        <is>
          <t>TRN-022</t>
        </is>
      </c>
      <c r="B23" s="7" t="inlineStr">
        <is>
          <t>Cultural Sensitivity &amp; Diversity</t>
        </is>
      </c>
      <c r="C23" s="7" t="inlineStr">
        <is>
          <t>Customer Service</t>
        </is>
      </c>
      <c r="D23" s="7" t="inlineStr">
        <is>
          <t>Phase 2 Orientation</t>
        </is>
      </c>
      <c r="E23" s="8" t="inlineStr">
        <is>
          <t>Understanding cultural differences and providing inclusive service to diverse populations</t>
        </is>
      </c>
      <c r="F23" s="8" t="inlineStr">
        <is>
          <t>Recognize cultural differences; Apply inclusive language; Accommodate diverse needs</t>
        </is>
      </c>
      <c r="G23" s="7" t="inlineStr">
        <is>
          <t>eLearning</t>
        </is>
      </c>
      <c r="H23" s="9" t="n">
        <v>1.5</v>
      </c>
      <c r="I23" s="7" t="inlineStr">
        <is>
          <t>None</t>
        </is>
      </c>
      <c r="J23" s="7" t="inlineStr">
        <is>
          <t>All Staff</t>
        </is>
      </c>
      <c r="K23" s="7" t="inlineStr">
        <is>
          <t>Quiz</t>
        </is>
      </c>
      <c r="L23" s="6" t="n">
        <v>80</v>
      </c>
      <c r="M23" s="7" t="inlineStr">
        <is>
          <t>Annual</t>
        </is>
      </c>
      <c r="N23" s="7" t="inlineStr">
        <is>
          <t>Diversity &amp; Inclusion Guide, Cultural Competency Resources</t>
        </is>
      </c>
      <c r="O23" s="7" t="inlineStr">
        <is>
          <t>D. Robinson</t>
        </is>
      </c>
      <c r="P23" s="7" t="inlineStr">
        <is>
          <t>Medium</t>
        </is>
      </c>
      <c r="Q23" s="7" t="inlineStr">
        <is>
          <t>Active</t>
        </is>
      </c>
    </row>
    <row r="24">
      <c r="A24" s="2" t="inlineStr">
        <is>
          <t>TRN-023</t>
        </is>
      </c>
      <c r="B24" s="3" t="inlineStr">
        <is>
          <t>Quality Standards &amp; Expectations</t>
        </is>
      </c>
      <c r="C24" s="3" t="inlineStr">
        <is>
          <t>Quality Assurance</t>
        </is>
      </c>
      <c r="D24" s="3" t="inlineStr">
        <is>
          <t>Phase 3 Core Training</t>
        </is>
      </c>
      <c r="E24" s="4" t="inlineStr">
        <is>
          <t>Overview of quality standards, evaluation criteria, and performance expectations</t>
        </is>
      </c>
      <c r="F24" s="4" t="inlineStr">
        <is>
          <t>Understand quality scorecard; Apply evaluation criteria; Self-assess performance</t>
        </is>
      </c>
      <c r="G24" s="3" t="inlineStr">
        <is>
          <t>Virtual Instructor-Led</t>
        </is>
      </c>
      <c r="H24" s="5" t="n">
        <v>3</v>
      </c>
      <c r="I24" s="3" t="inlineStr">
        <is>
          <t>TRN-013, TRN-016</t>
        </is>
      </c>
      <c r="J24" s="3" t="inlineStr">
        <is>
          <t>All Staff</t>
        </is>
      </c>
      <c r="K24" s="3" t="inlineStr">
        <is>
          <t>Quiz</t>
        </is>
      </c>
      <c r="L24" s="2" t="n">
        <v>85</v>
      </c>
      <c r="M24" s="3" t="inlineStr">
        <is>
          <t>One-Time</t>
        </is>
      </c>
      <c r="N24" s="3" t="inlineStr">
        <is>
          <t>Quality Scorecard, Evaluation Rubric, Sample Evaluations</t>
        </is>
      </c>
      <c r="O24" s="3" t="inlineStr">
        <is>
          <t>K. Nguyen</t>
        </is>
      </c>
      <c r="P24" s="3" t="inlineStr">
        <is>
          <t>High</t>
        </is>
      </c>
      <c r="Q24" s="3" t="inlineStr">
        <is>
          <t>Active</t>
        </is>
      </c>
    </row>
    <row r="25">
      <c r="A25" s="6" t="inlineStr">
        <is>
          <t>TRN-024</t>
        </is>
      </c>
      <c r="B25" s="7" t="inlineStr">
        <is>
          <t>QA Monitoring &amp; Calibration</t>
        </is>
      </c>
      <c r="C25" s="7" t="inlineStr">
        <is>
          <t>Quality Assurance</t>
        </is>
      </c>
      <c r="D25" s="7" t="inlineStr">
        <is>
          <t>Phase 4 Specialized</t>
        </is>
      </c>
      <c r="E25" s="8" t="inlineStr">
        <is>
          <t>Advanced QA monitoring techniques, calibration sessions, and inter-rater reliability</t>
        </is>
      </c>
      <c r="F25" s="8" t="inlineStr">
        <is>
          <t>Conduct quality evaluations; Participate in calibration; Ensure scoring consistency</t>
        </is>
      </c>
      <c r="G25" s="7" t="inlineStr">
        <is>
          <t>Blended</t>
        </is>
      </c>
      <c r="H25" s="9" t="n">
        <v>4</v>
      </c>
      <c r="I25" s="7" t="inlineStr">
        <is>
          <t>TRN-023</t>
        </is>
      </c>
      <c r="J25" s="7" t="inlineStr">
        <is>
          <t>QA Only</t>
        </is>
      </c>
      <c r="K25" s="7" t="inlineStr">
        <is>
          <t>Practical Demo</t>
        </is>
      </c>
      <c r="L25" s="6" t="n">
        <v>85</v>
      </c>
      <c r="M25" s="7" t="inlineStr">
        <is>
          <t>Quarterly</t>
        </is>
      </c>
      <c r="N25" s="7" t="inlineStr">
        <is>
          <t>QA Monitoring Guide, Calibration Schedule, Scoring Matrix</t>
        </is>
      </c>
      <c r="O25" s="7" t="inlineStr">
        <is>
          <t>K. Nguyen</t>
        </is>
      </c>
      <c r="P25" s="7" t="inlineStr">
        <is>
          <t>Critical</t>
        </is>
      </c>
      <c r="Q25" s="7" t="inlineStr">
        <is>
          <t>Active</t>
        </is>
      </c>
    </row>
    <row r="26">
      <c r="A26" s="2" t="inlineStr">
        <is>
          <t>TRN-025</t>
        </is>
      </c>
      <c r="B26" s="3" t="inlineStr">
        <is>
          <t>Self-Assessment &amp; Continuous Improvement</t>
        </is>
      </c>
      <c r="C26" s="3" t="inlineStr">
        <is>
          <t>Quality Assurance</t>
        </is>
      </c>
      <c r="D26" s="3" t="inlineStr">
        <is>
          <t>Phase 4 Specialized</t>
        </is>
      </c>
      <c r="E26" s="4" t="inlineStr">
        <is>
          <t>Tools and techniques for self-evaluation and continuous professional improvement</t>
        </is>
      </c>
      <c r="F26" s="4" t="inlineStr">
        <is>
          <t>Use self-assessment tools; Create improvement plans; Track progress metrics</t>
        </is>
      </c>
      <c r="G26" s="3" t="inlineStr">
        <is>
          <t>Self-Paced</t>
        </is>
      </c>
      <c r="H26" s="5" t="n">
        <v>1.5</v>
      </c>
      <c r="I26" s="3" t="inlineStr">
        <is>
          <t>TRN-023</t>
        </is>
      </c>
      <c r="J26" s="3" t="inlineStr">
        <is>
          <t>All Staff</t>
        </is>
      </c>
      <c r="K26" s="3" t="inlineStr">
        <is>
          <t>None</t>
        </is>
      </c>
      <c r="L26" s="2" t="inlineStr">
        <is>
          <t>N/A</t>
        </is>
      </c>
      <c r="M26" s="3" t="inlineStr">
        <is>
          <t>One-Time</t>
        </is>
      </c>
      <c r="N26" s="3" t="inlineStr">
        <is>
          <t>Self-Assessment Template, Improvement Plan Worksheet</t>
        </is>
      </c>
      <c r="O26" s="3" t="inlineStr">
        <is>
          <t>K. Nguyen</t>
        </is>
      </c>
      <c r="P26" s="3" t="inlineStr">
        <is>
          <t>Medium</t>
        </is>
      </c>
      <c r="Q26" s="3" t="inlineStr">
        <is>
          <t>Active</t>
        </is>
      </c>
    </row>
    <row r="27">
      <c r="A27" s="6" t="inlineStr">
        <is>
          <t>TRN-026</t>
        </is>
      </c>
      <c r="B27" s="7" t="inlineStr">
        <is>
          <t>Root Cause Analysis</t>
        </is>
      </c>
      <c r="C27" s="7" t="inlineStr">
        <is>
          <t>Quality Assurance</t>
        </is>
      </c>
      <c r="D27" s="7" t="inlineStr">
        <is>
          <t>Phase 4 Specialized</t>
        </is>
      </c>
      <c r="E27" s="8" t="inlineStr">
        <is>
          <t>Methodologies for identifying root causes of quality issues and process failures</t>
        </is>
      </c>
      <c r="F27" s="8" t="inlineStr">
        <is>
          <t>Apply RCA methodologies; Document findings; Recommend corrective actions</t>
        </is>
      </c>
      <c r="G27" s="7" t="inlineStr">
        <is>
          <t>Virtual Instructor-Led</t>
        </is>
      </c>
      <c r="H27" s="9" t="n">
        <v>2</v>
      </c>
      <c r="I27" s="7" t="inlineStr">
        <is>
          <t>TRN-023, TRN-014</t>
        </is>
      </c>
      <c r="J27" s="7" t="inlineStr">
        <is>
          <t>Team Leads+</t>
        </is>
      </c>
      <c r="K27" s="7" t="inlineStr">
        <is>
          <t>Practical Demo</t>
        </is>
      </c>
      <c r="L27" s="6" t="n">
        <v>80</v>
      </c>
      <c r="M27" s="7" t="inlineStr">
        <is>
          <t>One-Time</t>
        </is>
      </c>
      <c r="N27" s="7" t="inlineStr">
        <is>
          <t>RCA Toolkit, Fishbone Diagram Templates, Case Studies</t>
        </is>
      </c>
      <c r="O27" s="7" t="inlineStr">
        <is>
          <t>K. Nguyen</t>
        </is>
      </c>
      <c r="P27" s="7" t="inlineStr">
        <is>
          <t>Medium</t>
        </is>
      </c>
      <c r="Q27" s="7" t="inlineStr">
        <is>
          <t>Active</t>
        </is>
      </c>
    </row>
    <row r="28">
      <c r="A28" s="2" t="inlineStr">
        <is>
          <t>TRN-027</t>
        </is>
      </c>
      <c r="B28" s="3" t="inlineStr">
        <is>
          <t>Remote Team Leadership</t>
        </is>
      </c>
      <c r="C28" s="3" t="inlineStr">
        <is>
          <t>Leadership &amp; Supervision</t>
        </is>
      </c>
      <c r="D28" s="3" t="inlineStr">
        <is>
          <t>Phase 4 Specialized</t>
        </is>
      </c>
      <c r="E28" s="4" t="inlineStr">
        <is>
          <t>Leading and managing remote teams effectively in a government contract environment</t>
        </is>
      </c>
      <c r="F28" s="4" t="inlineStr">
        <is>
          <t>Apply remote leadership strategies; Build team engagement; Manage virtual meetings</t>
        </is>
      </c>
      <c r="G28" s="3" t="inlineStr">
        <is>
          <t>Virtual Instructor-Led</t>
        </is>
      </c>
      <c r="H28" s="5" t="n">
        <v>4</v>
      </c>
      <c r="I28" s="3" t="inlineStr">
        <is>
          <t>TRN-013, TRN-009</t>
        </is>
      </c>
      <c r="J28" s="3" t="inlineStr">
        <is>
          <t>Supervisors Only</t>
        </is>
      </c>
      <c r="K28" s="3" t="inlineStr">
        <is>
          <t>Observation</t>
        </is>
      </c>
      <c r="L28" s="2" t="n">
        <v>80</v>
      </c>
      <c r="M28" s="3" t="inlineStr">
        <is>
          <t>One-Time</t>
        </is>
      </c>
      <c r="N28" s="3" t="inlineStr">
        <is>
          <t>Remote Leadership Playbook, Engagement Toolkit</t>
        </is>
      </c>
      <c r="O28" s="3" t="inlineStr">
        <is>
          <t>P. Anderson</t>
        </is>
      </c>
      <c r="P28" s="3" t="inlineStr">
        <is>
          <t>High</t>
        </is>
      </c>
      <c r="Q28" s="3" t="inlineStr">
        <is>
          <t>Active</t>
        </is>
      </c>
    </row>
    <row r="29">
      <c r="A29" s="6" t="inlineStr">
        <is>
          <t>TRN-028</t>
        </is>
      </c>
      <c r="B29" s="7" t="inlineStr">
        <is>
          <t>Performance Management &amp; Coaching</t>
        </is>
      </c>
      <c r="C29" s="7" t="inlineStr">
        <is>
          <t>Leadership &amp; Supervision</t>
        </is>
      </c>
      <c r="D29" s="7" t="inlineStr">
        <is>
          <t>Phase 4 Specialized</t>
        </is>
      </c>
      <c r="E29" s="8" t="inlineStr">
        <is>
          <t>Performance evaluation, coaching techniques, and employee development planning</t>
        </is>
      </c>
      <c r="F29" s="8" t="inlineStr">
        <is>
          <t>Conduct performance reviews; Apply coaching frameworks; Create development plans</t>
        </is>
      </c>
      <c r="G29" s="7" t="inlineStr">
        <is>
          <t>Blended</t>
        </is>
      </c>
      <c r="H29" s="9" t="n">
        <v>3</v>
      </c>
      <c r="I29" s="7" t="inlineStr">
        <is>
          <t>TRN-027</t>
        </is>
      </c>
      <c r="J29" s="7" t="inlineStr">
        <is>
          <t>Team Leads+</t>
        </is>
      </c>
      <c r="K29" s="7" t="inlineStr">
        <is>
          <t>Practical Demo</t>
        </is>
      </c>
      <c r="L29" s="6" t="n">
        <v>80</v>
      </c>
      <c r="M29" s="7" t="inlineStr">
        <is>
          <t>Annual</t>
        </is>
      </c>
      <c r="N29" s="7" t="inlineStr">
        <is>
          <t>Performance Management Guide, Coaching Models, Review Templates</t>
        </is>
      </c>
      <c r="O29" s="7" t="inlineStr">
        <is>
          <t>P. Anderson</t>
        </is>
      </c>
      <c r="P29" s="7" t="inlineStr">
        <is>
          <t>High</t>
        </is>
      </c>
      <c r="Q29" s="7" t="inlineStr">
        <is>
          <t>Active</t>
        </is>
      </c>
    </row>
    <row r="30">
      <c r="A30" s="2" t="inlineStr">
        <is>
          <t>TRN-029</t>
        </is>
      </c>
      <c r="B30" s="3" t="inlineStr">
        <is>
          <t>Conflict Resolution &amp; Employee Relations</t>
        </is>
      </c>
      <c r="C30" s="3" t="inlineStr">
        <is>
          <t>Leadership &amp; Supervision</t>
        </is>
      </c>
      <c r="D30" s="3" t="inlineStr">
        <is>
          <t>Phase 4 Specialized</t>
        </is>
      </c>
      <c r="E30" s="4" t="inlineStr">
        <is>
          <t>Managing workplace conflicts and maintaining positive employee relations remotely</t>
        </is>
      </c>
      <c r="F30" s="4" t="inlineStr">
        <is>
          <t>Apply conflict resolution models; Mediate disputes; Document employee issues</t>
        </is>
      </c>
      <c r="G30" s="3" t="inlineStr">
        <is>
          <t>Virtual Instructor-Led</t>
        </is>
      </c>
      <c r="H30" s="5" t="n">
        <v>2</v>
      </c>
      <c r="I30" s="3" t="inlineStr">
        <is>
          <t>TRN-027</t>
        </is>
      </c>
      <c r="J30" s="3" t="inlineStr">
        <is>
          <t>Team Leads+</t>
        </is>
      </c>
      <c r="K30" s="3" t="inlineStr">
        <is>
          <t>Observation</t>
        </is>
      </c>
      <c r="L30" s="2" t="n">
        <v>80</v>
      </c>
      <c r="M30" s="3" t="inlineStr">
        <is>
          <t>Annual</t>
        </is>
      </c>
      <c r="N30" s="3" t="inlineStr">
        <is>
          <t>Conflict Resolution Framework, ER Case Studies, Documentation Templates</t>
        </is>
      </c>
      <c r="O30" s="3" t="inlineStr">
        <is>
          <t>P. Anderson</t>
        </is>
      </c>
      <c r="P30" s="3" t="inlineStr">
        <is>
          <t>Medium</t>
        </is>
      </c>
      <c r="Q30" s="3" t="inlineStr">
        <is>
          <t>Active</t>
        </is>
      </c>
    </row>
    <row r="31">
      <c r="A31" s="6" t="inlineStr">
        <is>
          <t>TRN-030</t>
        </is>
      </c>
      <c r="B31" s="7" t="inlineStr">
        <is>
          <t>Workforce Planning &amp; Surge Management</t>
        </is>
      </c>
      <c r="C31" s="7" t="inlineStr">
        <is>
          <t>Leadership &amp; Supervision</t>
        </is>
      </c>
      <c r="D31" s="7" t="inlineStr">
        <is>
          <t>Phase 4 Specialized</t>
        </is>
      </c>
      <c r="E31" s="8" t="inlineStr">
        <is>
          <t>Planning and executing workforce surges for government contract operations</t>
        </is>
      </c>
      <c r="F31" s="8" t="inlineStr">
        <is>
          <t>Develop surge plans; Manage rapid onboarding; Optimize staffing models</t>
        </is>
      </c>
      <c r="G31" s="7" t="inlineStr">
        <is>
          <t>Virtual Instructor-Led</t>
        </is>
      </c>
      <c r="H31" s="9" t="n">
        <v>3</v>
      </c>
      <c r="I31" s="7" t="inlineStr">
        <is>
          <t>TRN-027, TRN-016</t>
        </is>
      </c>
      <c r="J31" s="7" t="inlineStr">
        <is>
          <t>Supervisors Only</t>
        </is>
      </c>
      <c r="K31" s="7" t="inlineStr">
        <is>
          <t>Quiz</t>
        </is>
      </c>
      <c r="L31" s="6" t="n">
        <v>85</v>
      </c>
      <c r="M31" s="7" t="inlineStr">
        <is>
          <t>One-Time</t>
        </is>
      </c>
      <c r="N31" s="7" t="inlineStr">
        <is>
          <t>Surge Planning Template, Staffing Models, Lessons Learned</t>
        </is>
      </c>
      <c r="O31" s="7" t="inlineStr">
        <is>
          <t>P. Anderson</t>
        </is>
      </c>
      <c r="P31" s="7" t="inlineStr">
        <is>
          <t>High</t>
        </is>
      </c>
      <c r="Q31" s="7" t="inlineStr">
        <is>
          <t>Active</t>
        </is>
      </c>
    </row>
  </sheetData>
  <dataValidations count="8">
    <dataValidation sqref="C2:C31" showDropDown="0" showInputMessage="0" showErrorMessage="0" allowBlank="1" type="list">
      <formula1>"Security &amp; Compliance,Systems &amp; Technology,Operations &amp; Processes,Customer Service,Quality Assurance,Leadership &amp; Supervision"</formula1>
    </dataValidation>
    <dataValidation sqref="D2:D31" showDropDown="0" showInputMessage="0" showErrorMessage="0" allowBlank="1" type="list">
      <formula1>"Phase 1 Pre-Boarding,Phase 2 Orientation,Phase 3 Core Training,Phase 4 Specialized,Phase 5 OJT"</formula1>
    </dataValidation>
    <dataValidation sqref="G2:G31" showDropDown="0" showInputMessage="0" showErrorMessage="0" allowBlank="1" type="list">
      <formula1>"eLearning,Virtual Instructor-Led,Self-Paced,On-the-Job,Blended"</formula1>
    </dataValidation>
    <dataValidation sqref="J2:J31" showDropDown="0" showInputMessage="0" showErrorMessage="0" allowBlank="1" type="list">
      <formula1>"All Staff,Agents Only,Supervisors Only,QA Only,Team Leads+,Security Staff"</formula1>
    </dataValidation>
    <dataValidation sqref="K2:K31" showDropDown="0" showInputMessage="0" showErrorMessage="0" allowBlank="1" type="list">
      <formula1>"Quiz,Practical Demo,Observation,Written Exam,Certification Exam,None"</formula1>
    </dataValidation>
    <dataValidation sqref="M2:M31" showDropDown="0" showInputMessage="0" showErrorMessage="0" allowBlank="1" type="list">
      <formula1>"One-Time,Annual,Semi-Annual,Quarterly,As Updated"</formula1>
    </dataValidation>
    <dataValidation sqref="P2:P31" showDropDown="0" showInputMessage="0" showErrorMessage="0" allowBlank="1" type="list">
      <formula1>"Critical,High,Medium,Low"</formula1>
    </dataValidation>
    <dataValidation sqref="Q2:Q31" showDropDown="0" showInputMessage="0" showErrorMessage="0" allowBlank="1" type="list">
      <formula1>"Active,In Development,Under Review,Retired"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22" customWidth="1" min="5" max="5"/>
    <col width="12" customWidth="1" min="6" max="6"/>
    <col width="40" customWidth="1" min="7" max="7"/>
    <col width="22" customWidth="1" min="8" max="8"/>
    <col width="14" customWidth="1" min="9" max="9"/>
    <col width="20" customWidth="1" min="10" max="10"/>
    <col width="16" customWidth="1" min="11" max="11"/>
    <col width="24" customWidth="1" min="12" max="12"/>
    <col width="20" customWidth="1" min="13" max="13"/>
    <col width="30" customWidth="1" min="14" max="14"/>
  </cols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Phase</t>
        </is>
      </c>
      <c r="E1" s="1" t="inlineStr">
        <is>
          <t>Time Block</t>
        </is>
      </c>
      <c r="F1" s="1" t="inlineStr">
        <is>
          <t>Module ID</t>
        </is>
      </c>
      <c r="G1" s="1" t="inlineStr">
        <is>
          <t>Module Name</t>
        </is>
      </c>
      <c r="H1" s="1" t="inlineStr">
        <is>
          <t>Delivery Method</t>
        </is>
      </c>
      <c r="I1" s="1" t="inlineStr">
        <is>
          <t>Duration (hrs)</t>
        </is>
      </c>
      <c r="J1" s="1" t="inlineStr">
        <is>
          <t>Instructor/Facilitator</t>
        </is>
      </c>
      <c r="K1" s="1" t="inlineStr">
        <is>
          <t>Target Audience</t>
        </is>
      </c>
      <c r="L1" s="1" t="inlineStr">
        <is>
          <t>Location/Platform</t>
        </is>
      </c>
      <c r="M1" s="1" t="inlineStr">
        <is>
          <t>Prerequisites Completed?</t>
        </is>
      </c>
      <c r="N1" s="1" t="inlineStr">
        <is>
          <t>Notes</t>
        </is>
      </c>
    </row>
    <row r="2">
      <c r="A2" s="10" t="n">
        <v>1</v>
      </c>
      <c r="B2" s="11" t="inlineStr">
        <is>
          <t>Monday</t>
        </is>
      </c>
      <c r="C2" s="30" t="n">
        <v>46139</v>
      </c>
      <c r="D2" s="11" t="inlineStr">
        <is>
          <t>Phase 1 Pre-Boarding</t>
        </is>
      </c>
      <c r="E2" s="11" t="inlineStr">
        <is>
          <t>9:00 AM - 11:00 AM</t>
        </is>
      </c>
      <c r="F2" s="11" t="inlineStr">
        <is>
          <t>TRN-012</t>
        </is>
      </c>
      <c r="G2" s="11" t="inlineStr">
        <is>
          <t>Multi-Factor Authentication &amp; Account Security</t>
        </is>
      </c>
      <c r="H2" s="11" t="inlineStr">
        <is>
          <t>eLearning</t>
        </is>
      </c>
      <c r="I2" s="13" t="n">
        <v>0.5</v>
      </c>
      <c r="J2" s="11" t="inlineStr">
        <is>
          <t>R. Williams</t>
        </is>
      </c>
      <c r="K2" s="11" t="inlineStr">
        <is>
          <t>All Staff</t>
        </is>
      </c>
      <c r="L2" s="11" t="inlineStr">
        <is>
          <t>LMS Portal</t>
        </is>
      </c>
      <c r="M2" s="11" t="inlineStr">
        <is>
          <t>Yes</t>
        </is>
      </c>
      <c r="N2" s="11" t="inlineStr">
        <is>
          <t>Complete before VPN setup</t>
        </is>
      </c>
    </row>
    <row r="3">
      <c r="A3" s="10" t="n">
        <v>1</v>
      </c>
      <c r="B3" s="11" t="inlineStr">
        <is>
          <t>Monday</t>
        </is>
      </c>
      <c r="C3" s="30" t="n">
        <v>46139</v>
      </c>
      <c r="D3" s="11" t="inlineStr">
        <is>
          <t>Phase 1 Pre-Boarding</t>
        </is>
      </c>
      <c r="E3" s="11" t="inlineStr">
        <is>
          <t>11:00 AM - 1:00 PM</t>
        </is>
      </c>
      <c r="F3" s="11" t="inlineStr">
        <is>
          <t>TRN-007</t>
        </is>
      </c>
      <c r="G3" s="11" t="inlineStr">
        <is>
          <t>VPN &amp; Secure Remote Access Setup</t>
        </is>
      </c>
      <c r="H3" s="11" t="inlineStr">
        <is>
          <t>Virtual Instructor-Led</t>
        </is>
      </c>
      <c r="I3" s="13" t="n">
        <v>2</v>
      </c>
      <c r="J3" s="11" t="inlineStr">
        <is>
          <t>M. Patel</t>
        </is>
      </c>
      <c r="K3" s="11" t="inlineStr">
        <is>
          <t>All Staff</t>
        </is>
      </c>
      <c r="L3" s="11" t="inlineStr">
        <is>
          <t>MS Teams</t>
        </is>
      </c>
      <c r="M3" s="11" t="inlineStr">
        <is>
          <t>Yes</t>
        </is>
      </c>
      <c r="N3" s="11" t="inlineStr">
        <is>
          <t>Hands-on lab included</t>
        </is>
      </c>
    </row>
    <row r="4">
      <c r="A4" s="10" t="n">
        <v>1</v>
      </c>
      <c r="B4" s="11" t="inlineStr">
        <is>
          <t>Monday</t>
        </is>
      </c>
      <c r="C4" s="30" t="n">
        <v>46139</v>
      </c>
      <c r="D4" s="11" t="inlineStr">
        <is>
          <t>Phase 1 Pre-Boarding</t>
        </is>
      </c>
      <c r="E4" s="11" t="inlineStr">
        <is>
          <t>2:00 PM - 3:00 PM</t>
        </is>
      </c>
      <c r="F4" s="11" t="inlineStr">
        <is>
          <t>TRN-018</t>
        </is>
      </c>
      <c r="G4" s="11" t="inlineStr">
        <is>
          <t>Telework Policy &amp; Expectations</t>
        </is>
      </c>
      <c r="H4" s="11" t="inlineStr">
        <is>
          <t>Self-Paced</t>
        </is>
      </c>
      <c r="I4" s="13" t="n">
        <v>1</v>
      </c>
      <c r="J4" s="11" t="inlineStr">
        <is>
          <t>A. Garcia</t>
        </is>
      </c>
      <c r="K4" s="11" t="inlineStr">
        <is>
          <t>All Staff</t>
        </is>
      </c>
      <c r="L4" s="11" t="inlineStr">
        <is>
          <t>LMS Portal</t>
        </is>
      </c>
      <c r="M4" s="11" t="inlineStr">
        <is>
          <t>Yes</t>
        </is>
      </c>
      <c r="N4" s="11" t="inlineStr">
        <is>
          <t>Review telework agreement</t>
        </is>
      </c>
    </row>
    <row r="5">
      <c r="A5" s="10" t="n">
        <v>1</v>
      </c>
      <c r="B5" s="11" t="inlineStr">
        <is>
          <t>Tuesday</t>
        </is>
      </c>
      <c r="C5" s="30" t="n">
        <v>46140</v>
      </c>
      <c r="D5" s="11" t="inlineStr">
        <is>
          <t>Phase 1 Pre-Boarding</t>
        </is>
      </c>
      <c r="E5" s="11" t="inlineStr">
        <is>
          <t>9:00 AM - 11:00 AM</t>
        </is>
      </c>
      <c r="F5" s="11" t="inlineStr">
        <is>
          <t>TRN-001</t>
        </is>
      </c>
      <c r="G5" s="11" t="inlineStr">
        <is>
          <t>CUI Handling &amp; Marking</t>
        </is>
      </c>
      <c r="H5" s="11" t="inlineStr">
        <is>
          <t>eLearning</t>
        </is>
      </c>
      <c r="I5" s="13" t="n">
        <v>2</v>
      </c>
      <c r="J5" s="11" t="inlineStr">
        <is>
          <t>J. Morrison</t>
        </is>
      </c>
      <c r="K5" s="11" t="inlineStr">
        <is>
          <t>All Staff</t>
        </is>
      </c>
      <c r="L5" s="11" t="inlineStr">
        <is>
          <t>LMS Portal</t>
        </is>
      </c>
      <c r="M5" s="11" t="inlineStr">
        <is>
          <t>Yes</t>
        </is>
      </c>
      <c r="N5" s="11" t="inlineStr">
        <is>
          <t>Critical — required for subsequent modules</t>
        </is>
      </c>
    </row>
    <row r="6">
      <c r="A6" s="10" t="n">
        <v>1</v>
      </c>
      <c r="B6" s="11" t="inlineStr">
        <is>
          <t>Tuesday</t>
        </is>
      </c>
      <c r="C6" s="30" t="n">
        <v>46140</v>
      </c>
      <c r="D6" s="11" t="inlineStr">
        <is>
          <t>Phase 1 Pre-Boarding</t>
        </is>
      </c>
      <c r="E6" s="11" t="inlineStr">
        <is>
          <t>11:00 AM - 12:00 PM</t>
        </is>
      </c>
      <c r="F6" s="11" t="inlineStr">
        <is>
          <t>TRN-003</t>
        </is>
      </c>
      <c r="G6" s="11" t="inlineStr">
        <is>
          <t>PII Protection</t>
        </is>
      </c>
      <c r="H6" s="11" t="inlineStr">
        <is>
          <t>eLearning</t>
        </is>
      </c>
      <c r="I6" s="13" t="n">
        <v>1</v>
      </c>
      <c r="J6" s="11" t="inlineStr">
        <is>
          <t>S. Chen</t>
        </is>
      </c>
      <c r="K6" s="11" t="inlineStr">
        <is>
          <t>All Staff</t>
        </is>
      </c>
      <c r="L6" s="11" t="inlineStr">
        <is>
          <t>LMS Portal</t>
        </is>
      </c>
      <c r="M6" s="11" t="inlineStr">
        <is>
          <t>Yes</t>
        </is>
      </c>
      <c r="N6" s="11" t="inlineStr"/>
    </row>
    <row r="7">
      <c r="A7" s="10" t="n">
        <v>1</v>
      </c>
      <c r="B7" s="11" t="inlineStr">
        <is>
          <t>Tuesday</t>
        </is>
      </c>
      <c r="C7" s="30" t="n">
        <v>46140</v>
      </c>
      <c r="D7" s="11" t="inlineStr">
        <is>
          <t>Phase 1 Pre-Boarding</t>
        </is>
      </c>
      <c r="E7" s="11" t="inlineStr">
        <is>
          <t>1:00 PM - 2:30 PM</t>
        </is>
      </c>
      <c r="F7" s="11" t="inlineStr">
        <is>
          <t>TRN-002</t>
        </is>
      </c>
      <c r="G7" s="11" t="inlineStr">
        <is>
          <t>NIST 800-171 Security Awareness</t>
        </is>
      </c>
      <c r="H7" s="11" t="inlineStr">
        <is>
          <t>eLearning</t>
        </is>
      </c>
      <c r="I7" s="13" t="n">
        <v>1.5</v>
      </c>
      <c r="J7" s="11" t="inlineStr">
        <is>
          <t>J. Morrison</t>
        </is>
      </c>
      <c r="K7" s="11" t="inlineStr">
        <is>
          <t>All Staff</t>
        </is>
      </c>
      <c r="L7" s="11" t="inlineStr">
        <is>
          <t>LMS Portal</t>
        </is>
      </c>
      <c r="M7" s="11" t="inlineStr">
        <is>
          <t>Yes</t>
        </is>
      </c>
      <c r="N7" s="11" t="inlineStr"/>
    </row>
    <row r="8">
      <c r="A8" s="10" t="n">
        <v>1</v>
      </c>
      <c r="B8" s="11" t="inlineStr">
        <is>
          <t>Wednesday</t>
        </is>
      </c>
      <c r="C8" s="30" t="n">
        <v>46141</v>
      </c>
      <c r="D8" s="11" t="inlineStr">
        <is>
          <t>Phase 1 Pre-Boarding</t>
        </is>
      </c>
      <c r="E8" s="11" t="inlineStr">
        <is>
          <t>9:00 AM - 10:00 AM</t>
        </is>
      </c>
      <c r="F8" s="11" t="inlineStr">
        <is>
          <t>TRN-006</t>
        </is>
      </c>
      <c r="G8" s="11" t="inlineStr">
        <is>
          <t>Physical Security for Remote Workers</t>
        </is>
      </c>
      <c r="H8" s="11" t="inlineStr">
        <is>
          <t>eLearning</t>
        </is>
      </c>
      <c r="I8" s="13" t="n">
        <v>1</v>
      </c>
      <c r="J8" s="11" t="inlineStr">
        <is>
          <t>J. Morrison</t>
        </is>
      </c>
      <c r="K8" s="11" t="inlineStr">
        <is>
          <t>All Staff</t>
        </is>
      </c>
      <c r="L8" s="11" t="inlineStr">
        <is>
          <t>LMS Portal</t>
        </is>
      </c>
      <c r="M8" s="11" t="inlineStr">
        <is>
          <t>Yes</t>
        </is>
      </c>
      <c r="N8" s="11" t="inlineStr">
        <is>
          <t>Home office setup verification</t>
        </is>
      </c>
    </row>
    <row r="9">
      <c r="A9" s="14" t="n">
        <v>1</v>
      </c>
      <c r="B9" s="15" t="inlineStr">
        <is>
          <t>Wednesday</t>
        </is>
      </c>
      <c r="C9" s="31" t="n">
        <v>46141</v>
      </c>
      <c r="D9" s="15" t="inlineStr">
        <is>
          <t>Phase 2 Orientation</t>
        </is>
      </c>
      <c r="E9" s="15" t="inlineStr">
        <is>
          <t>10:30 AM - 12:30 PM</t>
        </is>
      </c>
      <c r="F9" s="15" t="inlineStr">
        <is>
          <t>TRN-004</t>
        </is>
      </c>
      <c r="G9" s="15" t="inlineStr">
        <is>
          <t>Insider Threat Awareness</t>
        </is>
      </c>
      <c r="H9" s="15" t="inlineStr">
        <is>
          <t>Virtual Instructor-Led</t>
        </is>
      </c>
      <c r="I9" s="17" t="n">
        <v>2</v>
      </c>
      <c r="J9" s="15" t="inlineStr">
        <is>
          <t>S. Chen</t>
        </is>
      </c>
      <c r="K9" s="15" t="inlineStr">
        <is>
          <t>All Staff</t>
        </is>
      </c>
      <c r="L9" s="15" t="inlineStr">
        <is>
          <t>MS Teams</t>
        </is>
      </c>
      <c r="M9" s="15" t="inlineStr">
        <is>
          <t>Yes</t>
        </is>
      </c>
      <c r="N9" s="15" t="inlineStr">
        <is>
          <t>Interactive case studies</t>
        </is>
      </c>
    </row>
    <row r="10">
      <c r="A10" s="14" t="n">
        <v>1</v>
      </c>
      <c r="B10" s="15" t="inlineStr">
        <is>
          <t>Thursday</t>
        </is>
      </c>
      <c r="C10" s="31" t="n">
        <v>46142</v>
      </c>
      <c r="D10" s="15" t="inlineStr">
        <is>
          <t>Phase 2 Orientation</t>
        </is>
      </c>
      <c r="E10" s="15" t="inlineStr">
        <is>
          <t>9:00 AM - 10:30 AM</t>
        </is>
      </c>
      <c r="F10" s="15" t="inlineStr">
        <is>
          <t>TRN-005</t>
        </is>
      </c>
      <c r="G10" s="15" t="inlineStr">
        <is>
          <t>Incident Reporting Procedures</t>
        </is>
      </c>
      <c r="H10" s="15" t="inlineStr">
        <is>
          <t>Blended</t>
        </is>
      </c>
      <c r="I10" s="17" t="n">
        <v>1.5</v>
      </c>
      <c r="J10" s="15" t="inlineStr">
        <is>
          <t>S. Chen</t>
        </is>
      </c>
      <c r="K10" s="15" t="inlineStr">
        <is>
          <t>All Staff</t>
        </is>
      </c>
      <c r="L10" s="15" t="inlineStr">
        <is>
          <t>MS Teams + LMS</t>
        </is>
      </c>
      <c r="M10" s="15" t="inlineStr">
        <is>
          <t>Yes</t>
        </is>
      </c>
      <c r="N10" s="15" t="inlineStr">
        <is>
          <t>Practical demo component</t>
        </is>
      </c>
    </row>
    <row r="11">
      <c r="A11" s="14" t="n">
        <v>1</v>
      </c>
      <c r="B11" s="15" t="inlineStr">
        <is>
          <t>Thursday</t>
        </is>
      </c>
      <c r="C11" s="31" t="n">
        <v>46142</v>
      </c>
      <c r="D11" s="15" t="inlineStr">
        <is>
          <t>Phase 2 Orientation</t>
        </is>
      </c>
      <c r="E11" s="15" t="inlineStr">
        <is>
          <t>11:00 AM - 12:30 PM</t>
        </is>
      </c>
      <c r="F11" s="15" t="inlineStr">
        <is>
          <t>TRN-022</t>
        </is>
      </c>
      <c r="G11" s="15" t="inlineStr">
        <is>
          <t>Cultural Sensitivity &amp; Diversity</t>
        </is>
      </c>
      <c r="H11" s="15" t="inlineStr">
        <is>
          <t>eLearning</t>
        </is>
      </c>
      <c r="I11" s="17" t="n">
        <v>1.5</v>
      </c>
      <c r="J11" s="15" t="inlineStr">
        <is>
          <t>D. Robinson</t>
        </is>
      </c>
      <c r="K11" s="15" t="inlineStr">
        <is>
          <t>All Staff</t>
        </is>
      </c>
      <c r="L11" s="15" t="inlineStr">
        <is>
          <t>LMS Portal</t>
        </is>
      </c>
      <c r="M11" s="15" t="inlineStr">
        <is>
          <t>Yes</t>
        </is>
      </c>
      <c r="N11" s="15" t="inlineStr"/>
    </row>
    <row r="12">
      <c r="A12" s="14" t="n">
        <v>1</v>
      </c>
      <c r="B12" s="15" t="inlineStr">
        <is>
          <t>Friday</t>
        </is>
      </c>
      <c r="C12" s="31" t="n">
        <v>46143</v>
      </c>
      <c r="D12" s="15" t="inlineStr">
        <is>
          <t>Phase 2 Orientation</t>
        </is>
      </c>
      <c r="E12" s="15" t="inlineStr">
        <is>
          <t>9:00 AM - 11:00 AM</t>
        </is>
      </c>
      <c r="F12" s="15" t="inlineStr">
        <is>
          <t>TRN-010</t>
        </is>
      </c>
      <c r="G12" s="15" t="inlineStr">
        <is>
          <t>Secure Document Management</t>
        </is>
      </c>
      <c r="H12" s="15" t="inlineStr">
        <is>
          <t>Virtual Instructor-Led</t>
        </is>
      </c>
      <c r="I12" s="17" t="n">
        <v>2</v>
      </c>
      <c r="J12" s="15" t="inlineStr">
        <is>
          <t>M. Patel</t>
        </is>
      </c>
      <c r="K12" s="15" t="inlineStr">
        <is>
          <t>All Staff</t>
        </is>
      </c>
      <c r="L12" s="15" t="inlineStr">
        <is>
          <t>MS Teams</t>
        </is>
      </c>
      <c r="M12" s="15" t="inlineStr">
        <is>
          <t>Yes</t>
        </is>
      </c>
      <c r="N12" s="15" t="inlineStr"/>
    </row>
    <row r="13">
      <c r="A13" s="14" t="n">
        <v>1</v>
      </c>
      <c r="B13" s="15" t="inlineStr">
        <is>
          <t>Friday</t>
        </is>
      </c>
      <c r="C13" s="31" t="n">
        <v>46143</v>
      </c>
      <c r="D13" s="15" t="inlineStr">
        <is>
          <t>Phase 2 Orientation</t>
        </is>
      </c>
      <c r="E13" s="15" t="inlineStr">
        <is>
          <t>11:30 AM - 1:00 PM</t>
        </is>
      </c>
      <c r="F13" s="15" t="inlineStr">
        <is>
          <t>TRN-009</t>
        </is>
      </c>
      <c r="G13" s="15" t="inlineStr">
        <is>
          <t>Collaboration Tools (Teams/SharePoint)</t>
        </is>
      </c>
      <c r="H13" s="15" t="inlineStr">
        <is>
          <t>eLearning</t>
        </is>
      </c>
      <c r="I13" s="17" t="n">
        <v>1.5</v>
      </c>
      <c r="J13" s="15" t="inlineStr">
        <is>
          <t>R. Williams</t>
        </is>
      </c>
      <c r="K13" s="15" t="inlineStr">
        <is>
          <t>All Staff</t>
        </is>
      </c>
      <c r="L13" s="15" t="inlineStr">
        <is>
          <t>LMS Portal</t>
        </is>
      </c>
      <c r="M13" s="15" t="inlineStr">
        <is>
          <t>Yes</t>
        </is>
      </c>
      <c r="N13" s="15" t="inlineStr">
        <is>
          <t>Hands-on practice session</t>
        </is>
      </c>
    </row>
    <row r="14">
      <c r="A14" s="14" t="n">
        <v>2</v>
      </c>
      <c r="B14" s="15" t="inlineStr">
        <is>
          <t>Monday</t>
        </is>
      </c>
      <c r="C14" s="31" t="n">
        <v>46146</v>
      </c>
      <c r="D14" s="15" t="inlineStr">
        <is>
          <t>Phase 2 Orientation</t>
        </is>
      </c>
      <c r="E14" s="15" t="inlineStr">
        <is>
          <t>9:00 AM - 10:00 AM</t>
        </is>
      </c>
      <c r="F14" s="15" t="inlineStr">
        <is>
          <t>TRN-015</t>
        </is>
      </c>
      <c r="G14" s="15" t="inlineStr">
        <is>
          <t>Time &amp; Attendance Reporting</t>
        </is>
      </c>
      <c r="H14" s="15" t="inlineStr">
        <is>
          <t>eLearning</t>
        </is>
      </c>
      <c r="I14" s="17" t="n">
        <v>1</v>
      </c>
      <c r="J14" s="15" t="inlineStr">
        <is>
          <t>A. Garcia</t>
        </is>
      </c>
      <c r="K14" s="15" t="inlineStr">
        <is>
          <t>All Staff</t>
        </is>
      </c>
      <c r="L14" s="15" t="inlineStr">
        <is>
          <t>LMS Portal</t>
        </is>
      </c>
      <c r="M14" s="15" t="inlineStr">
        <is>
          <t>Yes</t>
        </is>
      </c>
      <c r="N14" s="15" t="inlineStr">
        <is>
          <t>Submit first timesheet by EOD</t>
        </is>
      </c>
    </row>
    <row r="15">
      <c r="A15" s="18" t="n">
        <v>2</v>
      </c>
      <c r="B15" s="19" t="inlineStr">
        <is>
          <t>Monday</t>
        </is>
      </c>
      <c r="C15" s="32" t="n">
        <v>46146</v>
      </c>
      <c r="D15" s="19" t="inlineStr">
        <is>
          <t>Phase 3 Core Training</t>
        </is>
      </c>
      <c r="E15" s="19" t="inlineStr">
        <is>
          <t>10:30 AM - 2:30 PM</t>
        </is>
      </c>
      <c r="F15" s="19" t="inlineStr">
        <is>
          <t>TRN-013</t>
        </is>
      </c>
      <c r="G15" s="19" t="inlineStr">
        <is>
          <t>Standard Operating Procedures Overview</t>
        </is>
      </c>
      <c r="H15" s="19" t="inlineStr">
        <is>
          <t>Virtual Instructor-Led</t>
        </is>
      </c>
      <c r="I15" s="21" t="n">
        <v>4</v>
      </c>
      <c r="J15" s="19" t="inlineStr">
        <is>
          <t>L. Thompson</t>
        </is>
      </c>
      <c r="K15" s="19" t="inlineStr">
        <is>
          <t>All Staff</t>
        </is>
      </c>
      <c r="L15" s="19" t="inlineStr">
        <is>
          <t>MS Teams</t>
        </is>
      </c>
      <c r="M15" s="19" t="inlineStr">
        <is>
          <t>Yes</t>
        </is>
      </c>
      <c r="N15" s="19" t="inlineStr">
        <is>
          <t>Full-day session with breaks</t>
        </is>
      </c>
    </row>
    <row r="16">
      <c r="A16" s="18" t="n">
        <v>2</v>
      </c>
      <c r="B16" s="19" t="inlineStr">
        <is>
          <t>Tuesday</t>
        </is>
      </c>
      <c r="C16" s="32" t="n">
        <v>46147</v>
      </c>
      <c r="D16" s="19" t="inlineStr">
        <is>
          <t>Phase 3 Core Training</t>
        </is>
      </c>
      <c r="E16" s="19" t="inlineStr">
        <is>
          <t>9:00 AM - 12:00 PM</t>
        </is>
      </c>
      <c r="F16" s="19" t="inlineStr">
        <is>
          <t>TRN-014</t>
        </is>
      </c>
      <c r="G16" s="19" t="inlineStr">
        <is>
          <t>Workflow &amp; Escalation Procedures</t>
        </is>
      </c>
      <c r="H16" s="19" t="inlineStr">
        <is>
          <t>Blended</t>
        </is>
      </c>
      <c r="I16" s="21" t="n">
        <v>3</v>
      </c>
      <c r="J16" s="19" t="inlineStr">
        <is>
          <t>L. Thompson</t>
        </is>
      </c>
      <c r="K16" s="19" t="inlineStr">
        <is>
          <t>All Staff</t>
        </is>
      </c>
      <c r="L16" s="19" t="inlineStr">
        <is>
          <t>MS Teams + LMS</t>
        </is>
      </c>
      <c r="M16" s="19" t="inlineStr">
        <is>
          <t>Yes</t>
        </is>
      </c>
      <c r="N16" s="19" t="inlineStr">
        <is>
          <t>Includes escalation role-play</t>
        </is>
      </c>
    </row>
    <row r="17">
      <c r="A17" s="18" t="n">
        <v>2</v>
      </c>
      <c r="B17" s="19" t="inlineStr">
        <is>
          <t>Tuesday</t>
        </is>
      </c>
      <c r="C17" s="32" t="n">
        <v>46147</v>
      </c>
      <c r="D17" s="19" t="inlineStr">
        <is>
          <t>Phase 3 Core Training</t>
        </is>
      </c>
      <c r="E17" s="19" t="inlineStr">
        <is>
          <t>1:00 PM - 3:00 PM</t>
        </is>
      </c>
      <c r="F17" s="19" t="inlineStr">
        <is>
          <t>TRN-016</t>
        </is>
      </c>
      <c r="G17" s="19" t="inlineStr">
        <is>
          <t>Contract Compliance &amp; SLA Awareness</t>
        </is>
      </c>
      <c r="H17" s="19" t="inlineStr">
        <is>
          <t>Virtual Instructor-Led</t>
        </is>
      </c>
      <c r="I17" s="21" t="n">
        <v>2</v>
      </c>
      <c r="J17" s="19" t="inlineStr">
        <is>
          <t>L. Thompson</t>
        </is>
      </c>
      <c r="K17" s="19" t="inlineStr">
        <is>
          <t>All Staff</t>
        </is>
      </c>
      <c r="L17" s="19" t="inlineStr">
        <is>
          <t>MS Teams</t>
        </is>
      </c>
      <c r="M17" s="19" t="inlineStr">
        <is>
          <t>Yes</t>
        </is>
      </c>
      <c r="N17" s="19" t="inlineStr"/>
    </row>
    <row r="18">
      <c r="A18" s="18" t="n">
        <v>2</v>
      </c>
      <c r="B18" s="19" t="inlineStr">
        <is>
          <t>Wednesday</t>
        </is>
      </c>
      <c r="C18" s="32" t="n">
        <v>46148</v>
      </c>
      <c r="D18" s="19" t="inlineStr">
        <is>
          <t>Phase 3 Core Training</t>
        </is>
      </c>
      <c r="E18" s="19" t="inlineStr">
        <is>
          <t>9:00 AM - 10:30 AM</t>
        </is>
      </c>
      <c r="F18" s="19" t="inlineStr">
        <is>
          <t>TRN-017</t>
        </is>
      </c>
      <c r="G18" s="19" t="inlineStr">
        <is>
          <t>Records Management &amp; Retention</t>
        </is>
      </c>
      <c r="H18" s="19" t="inlineStr">
        <is>
          <t>eLearning</t>
        </is>
      </c>
      <c r="I18" s="21" t="n">
        <v>1.5</v>
      </c>
      <c r="J18" s="19" t="inlineStr">
        <is>
          <t>A. Garcia</t>
        </is>
      </c>
      <c r="K18" s="19" t="inlineStr">
        <is>
          <t>All Staff</t>
        </is>
      </c>
      <c r="L18" s="19" t="inlineStr">
        <is>
          <t>LMS Portal</t>
        </is>
      </c>
      <c r="M18" s="19" t="inlineStr">
        <is>
          <t>Yes</t>
        </is>
      </c>
      <c r="N18" s="19" t="inlineStr"/>
    </row>
    <row r="19">
      <c r="A19" s="18" t="n">
        <v>2</v>
      </c>
      <c r="B19" s="19" t="inlineStr">
        <is>
          <t>Wednesday</t>
        </is>
      </c>
      <c r="C19" s="32" t="n">
        <v>46148</v>
      </c>
      <c r="D19" s="19" t="inlineStr">
        <is>
          <t>Phase 3 Core Training</t>
        </is>
      </c>
      <c r="E19" s="19" t="inlineStr">
        <is>
          <t>11:00 AM - 2:00 PM</t>
        </is>
      </c>
      <c r="F19" s="19" t="inlineStr">
        <is>
          <t>TRN-023</t>
        </is>
      </c>
      <c r="G19" s="19" t="inlineStr">
        <is>
          <t>Quality Standards &amp; Expectations</t>
        </is>
      </c>
      <c r="H19" s="19" t="inlineStr">
        <is>
          <t>Virtual Instructor-Led</t>
        </is>
      </c>
      <c r="I19" s="21" t="n">
        <v>3</v>
      </c>
      <c r="J19" s="19" t="inlineStr">
        <is>
          <t>K. Nguyen</t>
        </is>
      </c>
      <c r="K19" s="19" t="inlineStr">
        <is>
          <t>All Staff</t>
        </is>
      </c>
      <c r="L19" s="19" t="inlineStr">
        <is>
          <t>MS Teams</t>
        </is>
      </c>
      <c r="M19" s="19" t="inlineStr">
        <is>
          <t>Yes</t>
        </is>
      </c>
      <c r="N19" s="19" t="inlineStr">
        <is>
          <t>Review quality scorecard</t>
        </is>
      </c>
    </row>
    <row r="20">
      <c r="A20" s="18" t="n">
        <v>2</v>
      </c>
      <c r="B20" s="19" t="inlineStr">
        <is>
          <t>Thursday</t>
        </is>
      </c>
      <c r="C20" s="32" t="n">
        <v>46149</v>
      </c>
      <c r="D20" s="19" t="inlineStr">
        <is>
          <t>Phase 3 Core Training</t>
        </is>
      </c>
      <c r="E20" s="19" t="inlineStr">
        <is>
          <t>9:00 AM - 5:00 PM</t>
        </is>
      </c>
      <c r="F20" s="19" t="inlineStr">
        <is>
          <t>TRN-008</t>
        </is>
      </c>
      <c r="G20" s="19" t="inlineStr">
        <is>
          <t>Case Management System Training</t>
        </is>
      </c>
      <c r="H20" s="19" t="inlineStr">
        <is>
          <t>Blended</t>
        </is>
      </c>
      <c r="I20" s="21" t="n">
        <v>8</v>
      </c>
      <c r="J20" s="19" t="inlineStr">
        <is>
          <t>M. Patel</t>
        </is>
      </c>
      <c r="K20" s="19" t="inlineStr">
        <is>
          <t>Agents Only</t>
        </is>
      </c>
      <c r="L20" s="19" t="inlineStr">
        <is>
          <t>MS Teams + CMS Sandbox</t>
        </is>
      </c>
      <c r="M20" s="19" t="inlineStr">
        <is>
          <t>Yes</t>
        </is>
      </c>
      <c r="N20" s="19" t="inlineStr">
        <is>
          <t>Full-day hands-on lab</t>
        </is>
      </c>
    </row>
    <row r="21">
      <c r="A21" s="18" t="n">
        <v>2</v>
      </c>
      <c r="B21" s="19" t="inlineStr">
        <is>
          <t>Friday</t>
        </is>
      </c>
      <c r="C21" s="32" t="n">
        <v>46150</v>
      </c>
      <c r="D21" s="19" t="inlineStr">
        <is>
          <t>Phase 3 Core Training</t>
        </is>
      </c>
      <c r="E21" s="19" t="inlineStr">
        <is>
          <t>9:00 AM - 1:00 PM</t>
        </is>
      </c>
      <c r="F21" s="19" t="inlineStr">
        <is>
          <t>TRN-019</t>
        </is>
      </c>
      <c r="G21" s="19" t="inlineStr">
        <is>
          <t>Customer Service Excellence</t>
        </is>
      </c>
      <c r="H21" s="19" t="inlineStr">
        <is>
          <t>Virtual Instructor-Led</t>
        </is>
      </c>
      <c r="I21" s="21" t="n">
        <v>4</v>
      </c>
      <c r="J21" s="19" t="inlineStr">
        <is>
          <t>D. Robinson</t>
        </is>
      </c>
      <c r="K21" s="19" t="inlineStr">
        <is>
          <t>Agents Only</t>
        </is>
      </c>
      <c r="L21" s="19" t="inlineStr">
        <is>
          <t>MS Teams</t>
        </is>
      </c>
      <c r="M21" s="19" t="inlineStr">
        <is>
          <t>Yes</t>
        </is>
      </c>
      <c r="N21" s="19" t="inlineStr">
        <is>
          <t>Role-play scenarios included</t>
        </is>
      </c>
    </row>
    <row r="22">
      <c r="A22" s="18" t="n">
        <v>3</v>
      </c>
      <c r="B22" s="19" t="inlineStr">
        <is>
          <t>Monday</t>
        </is>
      </c>
      <c r="C22" s="32" t="n">
        <v>46153</v>
      </c>
      <c r="D22" s="19" t="inlineStr">
        <is>
          <t>Phase 3 Core Training</t>
        </is>
      </c>
      <c r="E22" s="19" t="inlineStr">
        <is>
          <t>9:00 AM - 11:00 AM</t>
        </is>
      </c>
      <c r="F22" s="19" t="inlineStr">
        <is>
          <t>TRN-021</t>
        </is>
      </c>
      <c r="G22" s="19" t="inlineStr">
        <is>
          <t>Communication Standards &amp; Etiquette</t>
        </is>
      </c>
      <c r="H22" s="19" t="inlineStr">
        <is>
          <t>Blended</t>
        </is>
      </c>
      <c r="I22" s="21" t="n">
        <v>2</v>
      </c>
      <c r="J22" s="19" t="inlineStr">
        <is>
          <t>D. Robinson</t>
        </is>
      </c>
      <c r="K22" s="19" t="inlineStr">
        <is>
          <t>Agents Only</t>
        </is>
      </c>
      <c r="L22" s="19" t="inlineStr">
        <is>
          <t>MS Teams + LMS</t>
        </is>
      </c>
      <c r="M22" s="19" t="inlineStr">
        <is>
          <t>Yes</t>
        </is>
      </c>
      <c r="N22" s="19" t="inlineStr">
        <is>
          <t>Email and chat practice</t>
        </is>
      </c>
    </row>
    <row r="23">
      <c r="A23" s="18" t="n">
        <v>3</v>
      </c>
      <c r="B23" s="19" t="inlineStr">
        <is>
          <t>Monday</t>
        </is>
      </c>
      <c r="C23" s="32" t="n">
        <v>46153</v>
      </c>
      <c r="D23" s="19" t="inlineStr">
        <is>
          <t>Phase 3 Core Training</t>
        </is>
      </c>
      <c r="E23" s="19" t="inlineStr">
        <is>
          <t>1:00 PM - 3:00 PM</t>
        </is>
      </c>
      <c r="F23" s="19" t="inlineStr">
        <is>
          <t>TRN-008</t>
        </is>
      </c>
      <c r="G23" s="19" t="inlineStr">
        <is>
          <t>Case Management System Training (Day 2)</t>
        </is>
      </c>
      <c r="H23" s="19" t="inlineStr">
        <is>
          <t>Blended</t>
        </is>
      </c>
      <c r="I23" s="21" t="n">
        <v>2</v>
      </c>
      <c r="J23" s="19" t="inlineStr">
        <is>
          <t>M. Patel</t>
        </is>
      </c>
      <c r="K23" s="19" t="inlineStr">
        <is>
          <t>Agents Only</t>
        </is>
      </c>
      <c r="L23" s="19" t="inlineStr">
        <is>
          <t>CMS Sandbox</t>
        </is>
      </c>
      <c r="M23" s="19" t="inlineStr">
        <is>
          <t>Yes</t>
        </is>
      </c>
      <c r="N23" s="19" t="inlineStr">
        <is>
          <t>Advanced CMS exercises</t>
        </is>
      </c>
    </row>
    <row r="24">
      <c r="A24" s="18" t="n">
        <v>3</v>
      </c>
      <c r="B24" s="19" t="inlineStr">
        <is>
          <t>Tuesday</t>
        </is>
      </c>
      <c r="C24" s="32" t="n">
        <v>46154</v>
      </c>
      <c r="D24" s="19" t="inlineStr">
        <is>
          <t>Phase 3 Core Training</t>
        </is>
      </c>
      <c r="E24" s="19" t="inlineStr">
        <is>
          <t>9:00 AM - 12:00 PM</t>
        </is>
      </c>
      <c r="F24" s="19" t="inlineStr">
        <is>
          <t>TRN-008</t>
        </is>
      </c>
      <c r="G24" s="19" t="inlineStr">
        <is>
          <t>Case Management System Training (Day 3)</t>
        </is>
      </c>
      <c r="H24" s="19" t="inlineStr">
        <is>
          <t>Blended</t>
        </is>
      </c>
      <c r="I24" s="21" t="n">
        <v>3</v>
      </c>
      <c r="J24" s="19" t="inlineStr">
        <is>
          <t>M. Patel</t>
        </is>
      </c>
      <c r="K24" s="19" t="inlineStr">
        <is>
          <t>Agents Only</t>
        </is>
      </c>
      <c r="L24" s="19" t="inlineStr">
        <is>
          <t>CMS Sandbox</t>
        </is>
      </c>
      <c r="M24" s="19" t="inlineStr">
        <is>
          <t>Yes</t>
        </is>
      </c>
      <c r="N24" s="19" t="inlineStr">
        <is>
          <t>Assessment prep</t>
        </is>
      </c>
    </row>
    <row r="25">
      <c r="A25" s="18" t="n">
        <v>3</v>
      </c>
      <c r="B25" s="19" t="inlineStr">
        <is>
          <t>Tuesday</t>
        </is>
      </c>
      <c r="C25" s="32" t="n">
        <v>46154</v>
      </c>
      <c r="D25" s="19" t="inlineStr">
        <is>
          <t>Phase 3 Core Training</t>
        </is>
      </c>
      <c r="E25" s="19" t="inlineStr">
        <is>
          <t>1:00 PM - 3:00 PM</t>
        </is>
      </c>
      <c r="F25" s="19" t="inlineStr">
        <is>
          <t>TRN-016</t>
        </is>
      </c>
      <c r="G25" s="19" t="inlineStr">
        <is>
          <t>Contract Compliance &amp; SLA Review</t>
        </is>
      </c>
      <c r="H25" s="19" t="inlineStr">
        <is>
          <t>Virtual Instructor-Led</t>
        </is>
      </c>
      <c r="I25" s="21" t="n">
        <v>2</v>
      </c>
      <c r="J25" s="19" t="inlineStr">
        <is>
          <t>L. Thompson</t>
        </is>
      </c>
      <c r="K25" s="19" t="inlineStr">
        <is>
          <t>All Staff</t>
        </is>
      </c>
      <c r="L25" s="19" t="inlineStr">
        <is>
          <t>MS Teams</t>
        </is>
      </c>
      <c r="M25" s="19" t="inlineStr">
        <is>
          <t>Yes</t>
        </is>
      </c>
      <c r="N25" s="19" t="inlineStr">
        <is>
          <t>Refresher for mid-cycle</t>
        </is>
      </c>
    </row>
    <row r="26">
      <c r="A26" s="18" t="n">
        <v>3</v>
      </c>
      <c r="B26" s="19" t="inlineStr">
        <is>
          <t>Wednesday</t>
        </is>
      </c>
      <c r="C26" s="32" t="n">
        <v>46155</v>
      </c>
      <c r="D26" s="19" t="inlineStr">
        <is>
          <t>Phase 3 Core Training</t>
        </is>
      </c>
      <c r="E26" s="19" t="inlineStr">
        <is>
          <t>9:00 AM - 12:00 PM</t>
        </is>
      </c>
      <c r="F26" s="19" t="inlineStr">
        <is>
          <t>TRN-008</t>
        </is>
      </c>
      <c r="G26" s="19" t="inlineStr">
        <is>
          <t>CMS Practical Assessment</t>
        </is>
      </c>
      <c r="H26" s="19" t="inlineStr">
        <is>
          <t>Blended</t>
        </is>
      </c>
      <c r="I26" s="21" t="n">
        <v>3</v>
      </c>
      <c r="J26" s="19" t="inlineStr">
        <is>
          <t>M. Patel</t>
        </is>
      </c>
      <c r="K26" s="19" t="inlineStr">
        <is>
          <t>Agents Only</t>
        </is>
      </c>
      <c r="L26" s="19" t="inlineStr">
        <is>
          <t>CMS Sandbox</t>
        </is>
      </c>
      <c r="M26" s="19" t="inlineStr">
        <is>
          <t>Yes</t>
        </is>
      </c>
      <c r="N26" s="19" t="inlineStr">
        <is>
          <t>Practical demo assessment</t>
        </is>
      </c>
    </row>
    <row r="27">
      <c r="A27" s="18" t="n">
        <v>3</v>
      </c>
      <c r="B27" s="19" t="inlineStr">
        <is>
          <t>Wednesday</t>
        </is>
      </c>
      <c r="C27" s="32" t="n">
        <v>46155</v>
      </c>
      <c r="D27" s="19" t="inlineStr">
        <is>
          <t>Phase 3 Core Training</t>
        </is>
      </c>
      <c r="E27" s="19" t="inlineStr">
        <is>
          <t>1:00 PM - 4:00 PM</t>
        </is>
      </c>
      <c r="F27" s="19" t="inlineStr">
        <is>
          <t>TRN-023</t>
        </is>
      </c>
      <c r="G27" s="19" t="inlineStr">
        <is>
          <t>Quality Standards Review &amp; Quiz</t>
        </is>
      </c>
      <c r="H27" s="19" t="inlineStr">
        <is>
          <t>Virtual Instructor-Led</t>
        </is>
      </c>
      <c r="I27" s="21" t="n">
        <v>3</v>
      </c>
      <c r="J27" s="19" t="inlineStr">
        <is>
          <t>K. Nguyen</t>
        </is>
      </c>
      <c r="K27" s="19" t="inlineStr">
        <is>
          <t>All Staff</t>
        </is>
      </c>
      <c r="L27" s="19" t="inlineStr">
        <is>
          <t>MS Teams</t>
        </is>
      </c>
      <c r="M27" s="19" t="inlineStr">
        <is>
          <t>Yes</t>
        </is>
      </c>
      <c r="N27" s="19" t="inlineStr">
        <is>
          <t>Assessment day</t>
        </is>
      </c>
    </row>
    <row r="28">
      <c r="A28" s="18" t="n">
        <v>3</v>
      </c>
      <c r="B28" s="19" t="inlineStr">
        <is>
          <t>Thursday</t>
        </is>
      </c>
      <c r="C28" s="32" t="n">
        <v>46156</v>
      </c>
      <c r="D28" s="19" t="inlineStr">
        <is>
          <t>Phase 3 Core Training</t>
        </is>
      </c>
      <c r="E28" s="19" t="inlineStr">
        <is>
          <t>9:00 AM - 1:00 PM</t>
        </is>
      </c>
      <c r="F28" s="19" t="inlineStr">
        <is>
          <t>TRN-019</t>
        </is>
      </c>
      <c r="G28" s="19" t="inlineStr">
        <is>
          <t>Customer Service — Advanced Scenarios</t>
        </is>
      </c>
      <c r="H28" s="19" t="inlineStr">
        <is>
          <t>Virtual Instructor-Led</t>
        </is>
      </c>
      <c r="I28" s="21" t="n">
        <v>4</v>
      </c>
      <c r="J28" s="19" t="inlineStr">
        <is>
          <t>D. Robinson</t>
        </is>
      </c>
      <c r="K28" s="19" t="inlineStr">
        <is>
          <t>Agents Only</t>
        </is>
      </c>
      <c r="L28" s="19" t="inlineStr">
        <is>
          <t>MS Teams</t>
        </is>
      </c>
      <c r="M28" s="19" t="inlineStr">
        <is>
          <t>Yes</t>
        </is>
      </c>
      <c r="N28" s="19" t="inlineStr">
        <is>
          <t>Observation assessment</t>
        </is>
      </c>
    </row>
    <row r="29">
      <c r="A29" s="18" t="n">
        <v>3</v>
      </c>
      <c r="B29" s="19" t="inlineStr">
        <is>
          <t>Friday</t>
        </is>
      </c>
      <c r="C29" s="32" t="n">
        <v>46157</v>
      </c>
      <c r="D29" s="19" t="inlineStr">
        <is>
          <t>Phase 3 Core Training</t>
        </is>
      </c>
      <c r="E29" s="19" t="inlineStr">
        <is>
          <t>9:00 AM - 12:00 PM</t>
        </is>
      </c>
      <c r="F29" s="19" t="inlineStr"/>
      <c r="G29" s="19" t="inlineStr">
        <is>
          <t>Phase 3 Assessments &amp; Remediation</t>
        </is>
      </c>
      <c r="H29" s="19" t="inlineStr"/>
      <c r="I29" s="21" t="n">
        <v>3</v>
      </c>
      <c r="J29" s="19" t="inlineStr">
        <is>
          <t>All Instructors</t>
        </is>
      </c>
      <c r="K29" s="19" t="inlineStr">
        <is>
          <t>All Staff</t>
        </is>
      </c>
      <c r="L29" s="19" t="inlineStr">
        <is>
          <t>MS Teams + LMS</t>
        </is>
      </c>
      <c r="M29" s="19" t="inlineStr">
        <is>
          <t>Yes</t>
        </is>
      </c>
      <c r="N29" s="19" t="inlineStr">
        <is>
          <t>Retakes and catch-up</t>
        </is>
      </c>
    </row>
    <row r="30">
      <c r="A30" s="22" t="n">
        <v>4</v>
      </c>
      <c r="B30" s="23" t="inlineStr">
        <is>
          <t>Monday</t>
        </is>
      </c>
      <c r="C30" s="33" t="n">
        <v>46160</v>
      </c>
      <c r="D30" s="23" t="inlineStr">
        <is>
          <t>Phase 4 Specialized</t>
        </is>
      </c>
      <c r="E30" s="23" t="inlineStr">
        <is>
          <t>9:00 AM - 12:00 PM</t>
        </is>
      </c>
      <c r="F30" s="23" t="inlineStr">
        <is>
          <t>TRN-020</t>
        </is>
      </c>
      <c r="G30" s="23" t="inlineStr">
        <is>
          <t>Difficult Caller Handling &amp; De-escalation</t>
        </is>
      </c>
      <c r="H30" s="23" t="inlineStr">
        <is>
          <t>Virtual Instructor-Led</t>
        </is>
      </c>
      <c r="I30" s="25" t="n">
        <v>3</v>
      </c>
      <c r="J30" s="23" t="inlineStr">
        <is>
          <t>D. Robinson</t>
        </is>
      </c>
      <c r="K30" s="23" t="inlineStr">
        <is>
          <t>Agents Only</t>
        </is>
      </c>
      <c r="L30" s="23" t="inlineStr">
        <is>
          <t>MS Teams</t>
        </is>
      </c>
      <c r="M30" s="23" t="inlineStr">
        <is>
          <t>Yes</t>
        </is>
      </c>
      <c r="N30" s="23" t="inlineStr">
        <is>
          <t>Advanced role-play</t>
        </is>
      </c>
    </row>
    <row r="31">
      <c r="A31" s="22" t="n">
        <v>4</v>
      </c>
      <c r="B31" s="23" t="inlineStr">
        <is>
          <t>Monday</t>
        </is>
      </c>
      <c r="C31" s="33" t="n">
        <v>46160</v>
      </c>
      <c r="D31" s="23" t="inlineStr">
        <is>
          <t>Phase 4 Specialized</t>
        </is>
      </c>
      <c r="E31" s="23" t="inlineStr">
        <is>
          <t>1:00 PM - 4:00 PM</t>
        </is>
      </c>
      <c r="F31" s="23" t="inlineStr">
        <is>
          <t>TRN-011</t>
        </is>
      </c>
      <c r="G31" s="23" t="inlineStr">
        <is>
          <t>Reporting &amp; Analytics Tools</t>
        </is>
      </c>
      <c r="H31" s="23" t="inlineStr">
        <is>
          <t>Virtual Instructor-Led</t>
        </is>
      </c>
      <c r="I31" s="25" t="n">
        <v>3</v>
      </c>
      <c r="J31" s="23" t="inlineStr">
        <is>
          <t>M. Patel</t>
        </is>
      </c>
      <c r="K31" s="23" t="inlineStr">
        <is>
          <t>Team Leads+</t>
        </is>
      </c>
      <c r="L31" s="23" t="inlineStr">
        <is>
          <t>MS Teams</t>
        </is>
      </c>
      <c r="M31" s="23" t="inlineStr">
        <is>
          <t>Yes</t>
        </is>
      </c>
      <c r="N31" s="23" t="inlineStr">
        <is>
          <t>Dashboard lab session</t>
        </is>
      </c>
    </row>
    <row r="32">
      <c r="A32" s="22" t="n">
        <v>4</v>
      </c>
      <c r="B32" s="23" t="inlineStr">
        <is>
          <t>Tuesday</t>
        </is>
      </c>
      <c r="C32" s="33" t="n">
        <v>46161</v>
      </c>
      <c r="D32" s="23" t="inlineStr">
        <is>
          <t>Phase 4 Specialized</t>
        </is>
      </c>
      <c r="E32" s="23" t="inlineStr">
        <is>
          <t>9:00 AM - 1:00 PM</t>
        </is>
      </c>
      <c r="F32" s="23" t="inlineStr">
        <is>
          <t>TRN-024</t>
        </is>
      </c>
      <c r="G32" s="23" t="inlineStr">
        <is>
          <t>QA Monitoring &amp; Calibration</t>
        </is>
      </c>
      <c r="H32" s="23" t="inlineStr">
        <is>
          <t>Blended</t>
        </is>
      </c>
      <c r="I32" s="25" t="n">
        <v>4</v>
      </c>
      <c r="J32" s="23" t="inlineStr">
        <is>
          <t>K. Nguyen</t>
        </is>
      </c>
      <c r="K32" s="23" t="inlineStr">
        <is>
          <t>QA Only</t>
        </is>
      </c>
      <c r="L32" s="23" t="inlineStr">
        <is>
          <t>MS Teams + QA Tools</t>
        </is>
      </c>
      <c r="M32" s="23" t="inlineStr">
        <is>
          <t>Yes</t>
        </is>
      </c>
      <c r="N32" s="23" t="inlineStr">
        <is>
          <t>Calibration exercise</t>
        </is>
      </c>
    </row>
    <row r="33">
      <c r="A33" s="22" t="n">
        <v>4</v>
      </c>
      <c r="B33" s="23" t="inlineStr">
        <is>
          <t>Tuesday</t>
        </is>
      </c>
      <c r="C33" s="33" t="n">
        <v>46161</v>
      </c>
      <c r="D33" s="23" t="inlineStr">
        <is>
          <t>Phase 4 Specialized</t>
        </is>
      </c>
      <c r="E33" s="23" t="inlineStr">
        <is>
          <t>9:00 AM - 11:00 AM</t>
        </is>
      </c>
      <c r="F33" s="23" t="inlineStr">
        <is>
          <t>TRN-026</t>
        </is>
      </c>
      <c r="G33" s="23" t="inlineStr">
        <is>
          <t>Root Cause Analysis</t>
        </is>
      </c>
      <c r="H33" s="23" t="inlineStr">
        <is>
          <t>Virtual Instructor-Led</t>
        </is>
      </c>
      <c r="I33" s="25" t="n">
        <v>2</v>
      </c>
      <c r="J33" s="23" t="inlineStr">
        <is>
          <t>K. Nguyen</t>
        </is>
      </c>
      <c r="K33" s="23" t="inlineStr">
        <is>
          <t>Team Leads+</t>
        </is>
      </c>
      <c r="L33" s="23" t="inlineStr">
        <is>
          <t>MS Teams</t>
        </is>
      </c>
      <c r="M33" s="23" t="inlineStr">
        <is>
          <t>Yes</t>
        </is>
      </c>
      <c r="N33" s="23" t="inlineStr">
        <is>
          <t>Concurrent session</t>
        </is>
      </c>
    </row>
    <row r="34">
      <c r="A34" s="22" t="n">
        <v>4</v>
      </c>
      <c r="B34" s="23" t="inlineStr">
        <is>
          <t>Wednesday</t>
        </is>
      </c>
      <c r="C34" s="33" t="n">
        <v>46162</v>
      </c>
      <c r="D34" s="23" t="inlineStr">
        <is>
          <t>Phase 4 Specialized</t>
        </is>
      </c>
      <c r="E34" s="23" t="inlineStr">
        <is>
          <t>9:00 AM - 10:30 AM</t>
        </is>
      </c>
      <c r="F34" s="23" t="inlineStr">
        <is>
          <t>TRN-025</t>
        </is>
      </c>
      <c r="G34" s="23" t="inlineStr">
        <is>
          <t>Self-Assessment &amp; Continuous Improvement</t>
        </is>
      </c>
      <c r="H34" s="23" t="inlineStr">
        <is>
          <t>Self-Paced</t>
        </is>
      </c>
      <c r="I34" s="25" t="n">
        <v>1.5</v>
      </c>
      <c r="J34" s="23" t="inlineStr">
        <is>
          <t>K. Nguyen</t>
        </is>
      </c>
      <c r="K34" s="23" t="inlineStr">
        <is>
          <t>All Staff</t>
        </is>
      </c>
      <c r="L34" s="23" t="inlineStr">
        <is>
          <t>LMS Portal</t>
        </is>
      </c>
      <c r="M34" s="23" t="inlineStr">
        <is>
          <t>Yes</t>
        </is>
      </c>
      <c r="N34" s="23" t="inlineStr"/>
    </row>
    <row r="35">
      <c r="A35" s="22" t="n">
        <v>4</v>
      </c>
      <c r="B35" s="23" t="inlineStr">
        <is>
          <t>Wednesday</t>
        </is>
      </c>
      <c r="C35" s="33" t="n">
        <v>46162</v>
      </c>
      <c r="D35" s="23" t="inlineStr">
        <is>
          <t>Phase 4 Specialized</t>
        </is>
      </c>
      <c r="E35" s="23" t="inlineStr">
        <is>
          <t>11:00 AM - 3:00 PM</t>
        </is>
      </c>
      <c r="F35" s="23" t="inlineStr">
        <is>
          <t>TRN-027</t>
        </is>
      </c>
      <c r="G35" s="23" t="inlineStr">
        <is>
          <t>Remote Team Leadership</t>
        </is>
      </c>
      <c r="H35" s="23" t="inlineStr">
        <is>
          <t>Virtual Instructor-Led</t>
        </is>
      </c>
      <c r="I35" s="25" t="n">
        <v>4</v>
      </c>
      <c r="J35" s="23" t="inlineStr">
        <is>
          <t>P. Anderson</t>
        </is>
      </c>
      <c r="K35" s="23" t="inlineStr">
        <is>
          <t>Supervisors Only</t>
        </is>
      </c>
      <c r="L35" s="23" t="inlineStr">
        <is>
          <t>MS Teams</t>
        </is>
      </c>
      <c r="M35" s="23" t="inlineStr">
        <is>
          <t>Yes</t>
        </is>
      </c>
      <c r="N35" s="23" t="inlineStr"/>
    </row>
    <row r="36">
      <c r="A36" s="22" t="n">
        <v>4</v>
      </c>
      <c r="B36" s="23" t="inlineStr">
        <is>
          <t>Thursday</t>
        </is>
      </c>
      <c r="C36" s="33" t="n">
        <v>46163</v>
      </c>
      <c r="D36" s="23" t="inlineStr">
        <is>
          <t>Phase 4 Specialized</t>
        </is>
      </c>
      <c r="E36" s="23" t="inlineStr">
        <is>
          <t>9:00 AM - 12:00 PM</t>
        </is>
      </c>
      <c r="F36" s="23" t="inlineStr">
        <is>
          <t>TRN-028</t>
        </is>
      </c>
      <c r="G36" s="23" t="inlineStr">
        <is>
          <t>Performance Management &amp; Coaching</t>
        </is>
      </c>
      <c r="H36" s="23" t="inlineStr">
        <is>
          <t>Blended</t>
        </is>
      </c>
      <c r="I36" s="25" t="n">
        <v>3</v>
      </c>
      <c r="J36" s="23" t="inlineStr">
        <is>
          <t>P. Anderson</t>
        </is>
      </c>
      <c r="K36" s="23" t="inlineStr">
        <is>
          <t>Team Leads+</t>
        </is>
      </c>
      <c r="L36" s="23" t="inlineStr">
        <is>
          <t>MS Teams + LMS</t>
        </is>
      </c>
      <c r="M36" s="23" t="inlineStr">
        <is>
          <t>Yes</t>
        </is>
      </c>
      <c r="N36" s="23" t="inlineStr">
        <is>
          <t>Coaching practice lab</t>
        </is>
      </c>
    </row>
    <row r="37">
      <c r="A37" s="22" t="n">
        <v>4</v>
      </c>
      <c r="B37" s="23" t="inlineStr">
        <is>
          <t>Friday</t>
        </is>
      </c>
      <c r="C37" s="33" t="n">
        <v>46164</v>
      </c>
      <c r="D37" s="23" t="inlineStr">
        <is>
          <t>Phase 4 Specialized</t>
        </is>
      </c>
      <c r="E37" s="23" t="inlineStr">
        <is>
          <t>9:00 AM - 11:00 AM</t>
        </is>
      </c>
      <c r="F37" s="23" t="inlineStr">
        <is>
          <t>TRN-029</t>
        </is>
      </c>
      <c r="G37" s="23" t="inlineStr">
        <is>
          <t>Conflict Resolution &amp; Employee Relations</t>
        </is>
      </c>
      <c r="H37" s="23" t="inlineStr">
        <is>
          <t>Virtual Instructor-Led</t>
        </is>
      </c>
      <c r="I37" s="25" t="n">
        <v>2</v>
      </c>
      <c r="J37" s="23" t="inlineStr">
        <is>
          <t>P. Anderson</t>
        </is>
      </c>
      <c r="K37" s="23" t="inlineStr">
        <is>
          <t>Team Leads+</t>
        </is>
      </c>
      <c r="L37" s="23" t="inlineStr">
        <is>
          <t>MS Teams</t>
        </is>
      </c>
      <c r="M37" s="23" t="inlineStr">
        <is>
          <t>Yes</t>
        </is>
      </c>
      <c r="N37" s="23" t="inlineStr">
        <is>
          <t>Case study analysis</t>
        </is>
      </c>
    </row>
    <row r="38">
      <c r="A38" s="22" t="n">
        <v>4</v>
      </c>
      <c r="B38" s="23" t="inlineStr">
        <is>
          <t>Friday</t>
        </is>
      </c>
      <c r="C38" s="33" t="n">
        <v>46164</v>
      </c>
      <c r="D38" s="23" t="inlineStr">
        <is>
          <t>Phase 4 Specialized</t>
        </is>
      </c>
      <c r="E38" s="23" t="inlineStr">
        <is>
          <t>11:30 AM - 2:30 PM</t>
        </is>
      </c>
      <c r="F38" s="23" t="inlineStr">
        <is>
          <t>TRN-030</t>
        </is>
      </c>
      <c r="G38" s="23" t="inlineStr">
        <is>
          <t>Workforce Planning &amp; Surge Management</t>
        </is>
      </c>
      <c r="H38" s="23" t="inlineStr">
        <is>
          <t>Virtual Instructor-Led</t>
        </is>
      </c>
      <c r="I38" s="25" t="n">
        <v>3</v>
      </c>
      <c r="J38" s="23" t="inlineStr">
        <is>
          <t>P. Anderson</t>
        </is>
      </c>
      <c r="K38" s="23" t="inlineStr">
        <is>
          <t>Supervisors Only</t>
        </is>
      </c>
      <c r="L38" s="23" t="inlineStr">
        <is>
          <t>MS Teams</t>
        </is>
      </c>
      <c r="M38" s="23" t="inlineStr">
        <is>
          <t>Yes</t>
        </is>
      </c>
      <c r="N38" s="23" t="inlineStr"/>
    </row>
    <row r="39">
      <c r="A39" s="26" t="n">
        <v>5</v>
      </c>
      <c r="B39" s="27" t="inlineStr">
        <is>
          <t>Monday</t>
        </is>
      </c>
      <c r="C39" s="34" t="n">
        <v>46167</v>
      </c>
      <c r="D39" s="27" t="inlineStr">
        <is>
          <t>Phase 5 OJT</t>
        </is>
      </c>
      <c r="E39" s="27" t="inlineStr">
        <is>
          <t>9:00 AM - 5:00 PM</t>
        </is>
      </c>
      <c r="F39" s="27" t="inlineStr"/>
      <c r="G39" s="27" t="inlineStr">
        <is>
          <t>OJT Day 1 — Shadowing</t>
        </is>
      </c>
      <c r="H39" s="27" t="inlineStr">
        <is>
          <t>On-the-Job</t>
        </is>
      </c>
      <c r="I39" s="29" t="n">
        <v>8</v>
      </c>
      <c r="J39" s="27" t="inlineStr">
        <is>
          <t>Assigned Mentor</t>
        </is>
      </c>
      <c r="K39" s="27" t="inlineStr">
        <is>
          <t>All Staff</t>
        </is>
      </c>
      <c r="L39" s="27" t="inlineStr">
        <is>
          <t>Virtual Shadow</t>
        </is>
      </c>
      <c r="M39" s="27" t="inlineStr">
        <is>
          <t>Yes</t>
        </is>
      </c>
      <c r="N39" s="27" t="inlineStr">
        <is>
          <t>Paired with experienced agent</t>
        </is>
      </c>
    </row>
    <row r="40">
      <c r="A40" s="26" t="n">
        <v>5</v>
      </c>
      <c r="B40" s="27" t="inlineStr">
        <is>
          <t>Tuesday</t>
        </is>
      </c>
      <c r="C40" s="34" t="n">
        <v>46168</v>
      </c>
      <c r="D40" s="27" t="inlineStr">
        <is>
          <t>Phase 5 OJT</t>
        </is>
      </c>
      <c r="E40" s="27" t="inlineStr">
        <is>
          <t>9:00 AM - 5:00 PM</t>
        </is>
      </c>
      <c r="F40" s="27" t="inlineStr"/>
      <c r="G40" s="27" t="inlineStr">
        <is>
          <t>OJT Day 2 — Assisted Calls</t>
        </is>
      </c>
      <c r="H40" s="27" t="inlineStr">
        <is>
          <t>On-the-Job</t>
        </is>
      </c>
      <c r="I40" s="29" t="n">
        <v>8</v>
      </c>
      <c r="J40" s="27" t="inlineStr">
        <is>
          <t>Assigned Mentor</t>
        </is>
      </c>
      <c r="K40" s="27" t="inlineStr">
        <is>
          <t>Agents Only</t>
        </is>
      </c>
      <c r="L40" s="27" t="inlineStr">
        <is>
          <t>Production Environment</t>
        </is>
      </c>
      <c r="M40" s="27" t="inlineStr">
        <is>
          <t>Yes</t>
        </is>
      </c>
      <c r="N40" s="27" t="inlineStr">
        <is>
          <t>Mentor monitors in real-time</t>
        </is>
      </c>
    </row>
    <row r="41">
      <c r="A41" s="26" t="n">
        <v>5</v>
      </c>
      <c r="B41" s="27" t="inlineStr">
        <is>
          <t>Wednesday</t>
        </is>
      </c>
      <c r="C41" s="34" t="n">
        <v>46169</v>
      </c>
      <c r="D41" s="27" t="inlineStr">
        <is>
          <t>Phase 5 OJT</t>
        </is>
      </c>
      <c r="E41" s="27" t="inlineStr">
        <is>
          <t>9:00 AM - 5:00 PM</t>
        </is>
      </c>
      <c r="F41" s="27" t="inlineStr"/>
      <c r="G41" s="27" t="inlineStr">
        <is>
          <t>OJT Day 3 — Supervised Production</t>
        </is>
      </c>
      <c r="H41" s="27" t="inlineStr">
        <is>
          <t>On-the-Job</t>
        </is>
      </c>
      <c r="I41" s="29" t="n">
        <v>8</v>
      </c>
      <c r="J41" s="27" t="inlineStr">
        <is>
          <t>Team Lead</t>
        </is>
      </c>
      <c r="K41" s="27" t="inlineStr">
        <is>
          <t>Agents Only</t>
        </is>
      </c>
      <c r="L41" s="27" t="inlineStr">
        <is>
          <t>Production Environment</t>
        </is>
      </c>
      <c r="M41" s="27" t="inlineStr">
        <is>
          <t>Yes</t>
        </is>
      </c>
      <c r="N41" s="27" t="inlineStr">
        <is>
          <t>Reduced mentor oversight</t>
        </is>
      </c>
    </row>
    <row r="42">
      <c r="A42" s="26" t="n">
        <v>5</v>
      </c>
      <c r="B42" s="27" t="inlineStr">
        <is>
          <t>Thursday</t>
        </is>
      </c>
      <c r="C42" s="34" t="n">
        <v>46170</v>
      </c>
      <c r="D42" s="27" t="inlineStr">
        <is>
          <t>Phase 5 OJT</t>
        </is>
      </c>
      <c r="E42" s="27" t="inlineStr">
        <is>
          <t>9:00 AM - 5:00 PM</t>
        </is>
      </c>
      <c r="F42" s="27" t="inlineStr"/>
      <c r="G42" s="27" t="inlineStr">
        <is>
          <t>OJT Day 4 — Independent Work</t>
        </is>
      </c>
      <c r="H42" s="27" t="inlineStr">
        <is>
          <t>On-the-Job</t>
        </is>
      </c>
      <c r="I42" s="29" t="n">
        <v>8</v>
      </c>
      <c r="J42" s="27" t="inlineStr">
        <is>
          <t>Team Lead</t>
        </is>
      </c>
      <c r="K42" s="27" t="inlineStr">
        <is>
          <t>Agents Only</t>
        </is>
      </c>
      <c r="L42" s="27" t="inlineStr">
        <is>
          <t>Production Environment</t>
        </is>
      </c>
      <c r="M42" s="27" t="inlineStr">
        <is>
          <t>Yes</t>
        </is>
      </c>
      <c r="N42" s="27" t="inlineStr">
        <is>
          <t>QA monitoring active</t>
        </is>
      </c>
    </row>
    <row r="43">
      <c r="A43" s="26" t="n">
        <v>5</v>
      </c>
      <c r="B43" s="27" t="inlineStr">
        <is>
          <t>Friday</t>
        </is>
      </c>
      <c r="C43" s="34" t="n">
        <v>46171</v>
      </c>
      <c r="D43" s="27" t="inlineStr">
        <is>
          <t>Phase 5 OJT</t>
        </is>
      </c>
      <c r="E43" s="27" t="inlineStr">
        <is>
          <t>9:00 AM - 12:00 PM</t>
        </is>
      </c>
      <c r="F43" s="27" t="inlineStr"/>
      <c r="G43" s="27" t="inlineStr">
        <is>
          <t>OJT Assessment &amp; Graduation</t>
        </is>
      </c>
      <c r="H43" s="27" t="inlineStr">
        <is>
          <t>On-the-Job</t>
        </is>
      </c>
      <c r="I43" s="29" t="n">
        <v>3</v>
      </c>
      <c r="J43" s="27" t="inlineStr">
        <is>
          <t>All Instructors</t>
        </is>
      </c>
      <c r="K43" s="27" t="inlineStr">
        <is>
          <t>All Staff</t>
        </is>
      </c>
      <c r="L43" s="27" t="inlineStr">
        <is>
          <t>MS Teams</t>
        </is>
      </c>
      <c r="M43" s="27" t="inlineStr">
        <is>
          <t>Yes</t>
        </is>
      </c>
      <c r="N43" s="27" t="inlineStr">
        <is>
          <t>Final evaluations and certification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8" customWidth="1" min="8" max="8"/>
    <col width="12" customWidth="1" min="9" max="9"/>
    <col width="12" customWidth="1" min="10" max="10"/>
    <col width="8" customWidth="1" min="11" max="11"/>
    <col width="12" customWidth="1" min="12" max="12"/>
    <col width="12" customWidth="1" min="13" max="13"/>
    <col width="8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  <col width="8" customWidth="1" min="20" max="20"/>
    <col width="12" customWidth="1" min="21" max="21"/>
    <col width="12" customWidth="1" min="22" max="22"/>
    <col width="8" customWidth="1" min="23" max="23"/>
    <col width="12" customWidth="1" min="24" max="24"/>
    <col width="12" customWidth="1" min="25" max="25"/>
    <col width="8" customWidth="1" min="26" max="26"/>
    <col width="12" customWidth="1" min="27" max="27"/>
    <col width="12" customWidth="1" min="28" max="28"/>
    <col width="8" customWidth="1" min="29" max="29"/>
    <col width="12" customWidth="1" min="30" max="30"/>
    <col width="12" customWidth="1" min="31" max="31"/>
    <col width="8" customWidth="1" min="32" max="32"/>
    <col width="12" customWidth="1" min="33" max="33"/>
    <col width="12" customWidth="1" min="34" max="34"/>
    <col width="8" customWidth="1" min="35" max="35"/>
    <col width="12" customWidth="1" min="36" max="36"/>
    <col width="12" customWidth="1" min="37" max="37"/>
    <col width="8" customWidth="1" min="38" max="38"/>
    <col width="12" customWidth="1" min="39" max="39"/>
    <col width="12" customWidth="1" min="40" max="40"/>
    <col width="8" customWidth="1" min="41" max="41"/>
    <col width="12" customWidth="1" min="42" max="42"/>
    <col width="12" customWidth="1" min="43" max="43"/>
    <col width="8" customWidth="1" min="44" max="44"/>
    <col width="12" customWidth="1" min="45" max="45"/>
    <col width="12" customWidth="1" min="46" max="46"/>
    <col width="8" customWidth="1" min="47" max="47"/>
    <col width="12" customWidth="1" min="48" max="48"/>
    <col width="12" customWidth="1" min="49" max="49"/>
    <col width="8" customWidth="1" min="50" max="50"/>
    <col width="12" customWidth="1" min="51" max="51"/>
    <col width="12" customWidth="1" min="52" max="52"/>
    <col width="8" customWidth="1" min="53" max="53"/>
    <col width="12" customWidth="1" min="54" max="54"/>
    <col width="12" customWidth="1" min="55" max="55"/>
    <col width="8" customWidth="1" min="56" max="56"/>
    <col width="12" customWidth="1" min="57" max="57"/>
    <col width="12" customWidth="1" min="58" max="58"/>
    <col width="8" customWidth="1" min="59" max="59"/>
    <col width="12" customWidth="1" min="60" max="60"/>
    <col width="12" customWidth="1" min="61" max="61"/>
    <col width="8" customWidth="1" min="62" max="62"/>
    <col width="12" customWidth="1" min="63" max="63"/>
    <col width="12" customWidth="1" min="64" max="64"/>
    <col width="8" customWidth="1" min="65" max="65"/>
    <col width="12" customWidth="1" min="66" max="66"/>
    <col width="12" customWidth="1" min="67" max="67"/>
    <col width="8" customWidth="1" min="68" max="68"/>
    <col width="12" customWidth="1" min="69" max="69"/>
    <col width="12" customWidth="1" min="70" max="70"/>
    <col width="8" customWidth="1" min="71" max="71"/>
    <col width="12" customWidth="1" min="72" max="72"/>
    <col width="12" customWidth="1" min="73" max="73"/>
    <col width="8" customWidth="1" min="74" max="74"/>
    <col width="12" customWidth="1" min="75" max="75"/>
    <col width="12" customWidth="1" min="76" max="76"/>
    <col width="8" customWidth="1" min="77" max="77"/>
    <col width="12" customWidth="1" min="78" max="78"/>
    <col width="12" customWidth="1" min="79" max="79"/>
    <col width="8" customWidth="1" min="80" max="80"/>
    <col width="12" customWidth="1" min="81" max="81"/>
    <col width="12" customWidth="1" min="82" max="82"/>
    <col width="8" customWidth="1" min="83" max="83"/>
    <col width="12" customWidth="1" min="84" max="84"/>
    <col width="12" customWidth="1" min="85" max="85"/>
    <col width="8" customWidth="1" min="86" max="86"/>
    <col width="12" customWidth="1" min="87" max="87"/>
    <col width="12" customWidth="1" min="88" max="88"/>
    <col width="8" customWidth="1" min="89" max="89"/>
    <col width="12" customWidth="1" min="90" max="90"/>
    <col width="12" customWidth="1" min="91" max="91"/>
    <col width="8" customWidth="1" min="92" max="92"/>
    <col width="12" customWidth="1" min="93" max="93"/>
    <col width="12" customWidth="1" min="94" max="94"/>
    <col width="8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</cols>
  <sheetData>
    <row r="1" ht="40" customHeight="1">
      <c r="A1" s="35" t="inlineStr">
        <is>
          <t>Employee ID</t>
        </is>
      </c>
      <c r="B1" s="35" t="inlineStr">
        <is>
          <t>Employee Name</t>
        </is>
      </c>
      <c r="C1" s="35" t="inlineStr">
        <is>
          <t>Role</t>
        </is>
      </c>
      <c r="D1" s="35" t="inlineStr">
        <is>
          <t>Hire Date</t>
        </is>
      </c>
      <c r="E1" s="35" t="inlineStr">
        <is>
          <t>Clearance Status</t>
        </is>
      </c>
      <c r="F1" s="35" t="inlineStr">
        <is>
          <t>TRN-001 Status</t>
        </is>
      </c>
      <c r="G1" s="35" t="inlineStr">
        <is>
          <t>TRN-001 Date</t>
        </is>
      </c>
      <c r="H1" s="35" t="inlineStr">
        <is>
          <t>TRN-001 Score</t>
        </is>
      </c>
      <c r="I1" s="35" t="inlineStr">
        <is>
          <t>TRN-002 Status</t>
        </is>
      </c>
      <c r="J1" s="35" t="inlineStr">
        <is>
          <t>TRN-002 Date</t>
        </is>
      </c>
      <c r="K1" s="35" t="inlineStr">
        <is>
          <t>TRN-002 Score</t>
        </is>
      </c>
      <c r="L1" s="35" t="inlineStr">
        <is>
          <t>TRN-003 Status</t>
        </is>
      </c>
      <c r="M1" s="35" t="inlineStr">
        <is>
          <t>TRN-003 Date</t>
        </is>
      </c>
      <c r="N1" s="35" t="inlineStr">
        <is>
          <t>TRN-003 Score</t>
        </is>
      </c>
      <c r="O1" s="35" t="inlineStr">
        <is>
          <t>TRN-004 Status</t>
        </is>
      </c>
      <c r="P1" s="35" t="inlineStr">
        <is>
          <t>TRN-004 Date</t>
        </is>
      </c>
      <c r="Q1" s="35" t="inlineStr">
        <is>
          <t>TRN-004 Score</t>
        </is>
      </c>
      <c r="R1" s="35" t="inlineStr">
        <is>
          <t>TRN-005 Status</t>
        </is>
      </c>
      <c r="S1" s="35" t="inlineStr">
        <is>
          <t>TRN-005 Date</t>
        </is>
      </c>
      <c r="T1" s="35" t="inlineStr">
        <is>
          <t>TRN-005 Score</t>
        </is>
      </c>
      <c r="U1" s="35" t="inlineStr">
        <is>
          <t>TRN-006 Status</t>
        </is>
      </c>
      <c r="V1" s="35" t="inlineStr">
        <is>
          <t>TRN-006 Date</t>
        </is>
      </c>
      <c r="W1" s="35" t="inlineStr">
        <is>
          <t>TRN-006 Score</t>
        </is>
      </c>
      <c r="X1" s="35" t="inlineStr">
        <is>
          <t>TRN-007 Status</t>
        </is>
      </c>
      <c r="Y1" s="35" t="inlineStr">
        <is>
          <t>TRN-007 Date</t>
        </is>
      </c>
      <c r="Z1" s="35" t="inlineStr">
        <is>
          <t>TRN-007 Score</t>
        </is>
      </c>
      <c r="AA1" s="35" t="inlineStr">
        <is>
          <t>TRN-008 Status</t>
        </is>
      </c>
      <c r="AB1" s="35" t="inlineStr">
        <is>
          <t>TRN-008 Date</t>
        </is>
      </c>
      <c r="AC1" s="35" t="inlineStr">
        <is>
          <t>TRN-008 Score</t>
        </is>
      </c>
      <c r="AD1" s="35" t="inlineStr">
        <is>
          <t>TRN-009 Status</t>
        </is>
      </c>
      <c r="AE1" s="35" t="inlineStr">
        <is>
          <t>TRN-009 Date</t>
        </is>
      </c>
      <c r="AF1" s="35" t="inlineStr">
        <is>
          <t>TRN-009 Score</t>
        </is>
      </c>
      <c r="AG1" s="35" t="inlineStr">
        <is>
          <t>TRN-010 Status</t>
        </is>
      </c>
      <c r="AH1" s="35" t="inlineStr">
        <is>
          <t>TRN-010 Date</t>
        </is>
      </c>
      <c r="AI1" s="35" t="inlineStr">
        <is>
          <t>TRN-010 Score</t>
        </is>
      </c>
      <c r="AJ1" s="35" t="inlineStr">
        <is>
          <t>TRN-011 Status</t>
        </is>
      </c>
      <c r="AK1" s="35" t="inlineStr">
        <is>
          <t>TRN-011 Date</t>
        </is>
      </c>
      <c r="AL1" s="35" t="inlineStr">
        <is>
          <t>TRN-011 Score</t>
        </is>
      </c>
      <c r="AM1" s="35" t="inlineStr">
        <is>
          <t>TRN-012 Status</t>
        </is>
      </c>
      <c r="AN1" s="35" t="inlineStr">
        <is>
          <t>TRN-012 Date</t>
        </is>
      </c>
      <c r="AO1" s="35" t="inlineStr">
        <is>
          <t>TRN-012 Score</t>
        </is>
      </c>
      <c r="AP1" s="35" t="inlineStr">
        <is>
          <t>TRN-013 Status</t>
        </is>
      </c>
      <c r="AQ1" s="35" t="inlineStr">
        <is>
          <t>TRN-013 Date</t>
        </is>
      </c>
      <c r="AR1" s="35" t="inlineStr">
        <is>
          <t>TRN-013 Score</t>
        </is>
      </c>
      <c r="AS1" s="35" t="inlineStr">
        <is>
          <t>TRN-014 Status</t>
        </is>
      </c>
      <c r="AT1" s="35" t="inlineStr">
        <is>
          <t>TRN-014 Date</t>
        </is>
      </c>
      <c r="AU1" s="35" t="inlineStr">
        <is>
          <t>TRN-014 Score</t>
        </is>
      </c>
      <c r="AV1" s="35" t="inlineStr">
        <is>
          <t>TRN-015 Status</t>
        </is>
      </c>
      <c r="AW1" s="35" t="inlineStr">
        <is>
          <t>TRN-015 Date</t>
        </is>
      </c>
      <c r="AX1" s="35" t="inlineStr">
        <is>
          <t>TRN-015 Score</t>
        </is>
      </c>
      <c r="AY1" s="35" t="inlineStr">
        <is>
          <t>TRN-016 Status</t>
        </is>
      </c>
      <c r="AZ1" s="35" t="inlineStr">
        <is>
          <t>TRN-016 Date</t>
        </is>
      </c>
      <c r="BA1" s="35" t="inlineStr">
        <is>
          <t>TRN-016 Score</t>
        </is>
      </c>
      <c r="BB1" s="35" t="inlineStr">
        <is>
          <t>TRN-017 Status</t>
        </is>
      </c>
      <c r="BC1" s="35" t="inlineStr">
        <is>
          <t>TRN-017 Date</t>
        </is>
      </c>
      <c r="BD1" s="35" t="inlineStr">
        <is>
          <t>TRN-017 Score</t>
        </is>
      </c>
      <c r="BE1" s="35" t="inlineStr">
        <is>
          <t>TRN-018 Status</t>
        </is>
      </c>
      <c r="BF1" s="35" t="inlineStr">
        <is>
          <t>TRN-018 Date</t>
        </is>
      </c>
      <c r="BG1" s="35" t="inlineStr">
        <is>
          <t>TRN-018 Score</t>
        </is>
      </c>
      <c r="BH1" s="35" t="inlineStr">
        <is>
          <t>TRN-019 Status</t>
        </is>
      </c>
      <c r="BI1" s="35" t="inlineStr">
        <is>
          <t>TRN-019 Date</t>
        </is>
      </c>
      <c r="BJ1" s="35" t="inlineStr">
        <is>
          <t>TRN-019 Score</t>
        </is>
      </c>
      <c r="BK1" s="35" t="inlineStr">
        <is>
          <t>TRN-020 Status</t>
        </is>
      </c>
      <c r="BL1" s="35" t="inlineStr">
        <is>
          <t>TRN-020 Date</t>
        </is>
      </c>
      <c r="BM1" s="35" t="inlineStr">
        <is>
          <t>TRN-020 Score</t>
        </is>
      </c>
      <c r="BN1" s="35" t="inlineStr">
        <is>
          <t>TRN-021 Status</t>
        </is>
      </c>
      <c r="BO1" s="35" t="inlineStr">
        <is>
          <t>TRN-021 Date</t>
        </is>
      </c>
      <c r="BP1" s="35" t="inlineStr">
        <is>
          <t>TRN-021 Score</t>
        </is>
      </c>
      <c r="BQ1" s="35" t="inlineStr">
        <is>
          <t>TRN-022 Status</t>
        </is>
      </c>
      <c r="BR1" s="35" t="inlineStr">
        <is>
          <t>TRN-022 Date</t>
        </is>
      </c>
      <c r="BS1" s="35" t="inlineStr">
        <is>
          <t>TRN-022 Score</t>
        </is>
      </c>
      <c r="BT1" s="35" t="inlineStr">
        <is>
          <t>TRN-023 Status</t>
        </is>
      </c>
      <c r="BU1" s="35" t="inlineStr">
        <is>
          <t>TRN-023 Date</t>
        </is>
      </c>
      <c r="BV1" s="35" t="inlineStr">
        <is>
          <t>TRN-023 Score</t>
        </is>
      </c>
      <c r="BW1" s="35" t="inlineStr">
        <is>
          <t>TRN-024 Status</t>
        </is>
      </c>
      <c r="BX1" s="35" t="inlineStr">
        <is>
          <t>TRN-024 Date</t>
        </is>
      </c>
      <c r="BY1" s="35" t="inlineStr">
        <is>
          <t>TRN-024 Score</t>
        </is>
      </c>
      <c r="BZ1" s="35" t="inlineStr">
        <is>
          <t>TRN-025 Status</t>
        </is>
      </c>
      <c r="CA1" s="35" t="inlineStr">
        <is>
          <t>TRN-025 Date</t>
        </is>
      </c>
      <c r="CB1" s="35" t="inlineStr">
        <is>
          <t>TRN-025 Score</t>
        </is>
      </c>
      <c r="CC1" s="35" t="inlineStr">
        <is>
          <t>TRN-026 Status</t>
        </is>
      </c>
      <c r="CD1" s="35" t="inlineStr">
        <is>
          <t>TRN-026 Date</t>
        </is>
      </c>
      <c r="CE1" s="35" t="inlineStr">
        <is>
          <t>TRN-026 Score</t>
        </is>
      </c>
      <c r="CF1" s="35" t="inlineStr">
        <is>
          <t>TRN-027 Status</t>
        </is>
      </c>
      <c r="CG1" s="35" t="inlineStr">
        <is>
          <t>TRN-027 Date</t>
        </is>
      </c>
      <c r="CH1" s="35" t="inlineStr">
        <is>
          <t>TRN-027 Score</t>
        </is>
      </c>
      <c r="CI1" s="35" t="inlineStr">
        <is>
          <t>TRN-028 Status</t>
        </is>
      </c>
      <c r="CJ1" s="35" t="inlineStr">
        <is>
          <t>TRN-028 Date</t>
        </is>
      </c>
      <c r="CK1" s="35" t="inlineStr">
        <is>
          <t>TRN-028 Score</t>
        </is>
      </c>
      <c r="CL1" s="35" t="inlineStr">
        <is>
          <t>TRN-029 Status</t>
        </is>
      </c>
      <c r="CM1" s="35" t="inlineStr">
        <is>
          <t>TRN-029 Date</t>
        </is>
      </c>
      <c r="CN1" s="35" t="inlineStr">
        <is>
          <t>TRN-029 Score</t>
        </is>
      </c>
      <c r="CO1" s="35" t="inlineStr">
        <is>
          <t>TRN-030 Status</t>
        </is>
      </c>
      <c r="CP1" s="35" t="inlineStr">
        <is>
          <t>TRN-030 Date</t>
        </is>
      </c>
      <c r="CQ1" s="35" t="inlineStr">
        <is>
          <t>TRN-030 Score</t>
        </is>
      </c>
      <c r="CR1" s="36" t="inlineStr">
        <is>
          <t>Total Modules Required</t>
        </is>
      </c>
      <c r="CS1" s="36" t="inlineStr">
        <is>
          <t>Modules Completed</t>
        </is>
      </c>
      <c r="CT1" s="36" t="inlineStr">
        <is>
          <t>Completion %</t>
        </is>
      </c>
      <c r="CU1" s="36" t="inlineStr">
        <is>
          <t>Average Score</t>
        </is>
      </c>
      <c r="CV1" s="36" t="inlineStr">
        <is>
          <t>On Track</t>
        </is>
      </c>
    </row>
    <row r="2">
      <c r="A2" s="37" t="inlineStr">
        <is>
          <t>EMP-001</t>
        </is>
      </c>
      <c r="B2" t="inlineStr">
        <is>
          <t>Marcus J. Washington</t>
        </is>
      </c>
      <c r="C2" t="inlineStr">
        <is>
          <t>Agent</t>
        </is>
      </c>
      <c r="D2" s="38" t="n">
        <v>46083</v>
      </c>
      <c r="E2" t="inlineStr">
        <is>
          <t>Final</t>
        </is>
      </c>
      <c r="F2" s="39" t="inlineStr">
        <is>
          <t>Completed</t>
        </is>
      </c>
      <c r="G2" s="38" t="n">
        <v>46086</v>
      </c>
      <c r="H2" s="37" t="n">
        <v>95</v>
      </c>
      <c r="I2" s="39" t="inlineStr">
        <is>
          <t>Completed</t>
        </is>
      </c>
      <c r="J2" s="38" t="n">
        <v>46086</v>
      </c>
      <c r="K2" s="37" t="n">
        <v>90</v>
      </c>
      <c r="L2" s="39" t="inlineStr">
        <is>
          <t>Completed</t>
        </is>
      </c>
      <c r="M2" s="38" t="n">
        <v>46085</v>
      </c>
      <c r="N2" s="37" t="n">
        <v>92</v>
      </c>
      <c r="O2" s="39" t="inlineStr">
        <is>
          <t>Completed</t>
        </is>
      </c>
      <c r="P2" s="38" t="n">
        <v>46091</v>
      </c>
      <c r="Q2" s="37" t="n">
        <v>85</v>
      </c>
      <c r="R2" s="39" t="inlineStr">
        <is>
          <t>Completed</t>
        </is>
      </c>
      <c r="S2" s="38" t="n">
        <v>46091</v>
      </c>
      <c r="T2" s="37" t="n">
        <v>88</v>
      </c>
      <c r="U2" s="39" t="inlineStr">
        <is>
          <t>Completed</t>
        </is>
      </c>
      <c r="V2" s="38" t="n">
        <v>46085</v>
      </c>
      <c r="W2" s="37" t="n">
        <v>90</v>
      </c>
      <c r="X2" s="39" t="inlineStr">
        <is>
          <t>Completed</t>
        </is>
      </c>
      <c r="Y2" s="38" t="n">
        <v>46084</v>
      </c>
      <c r="Z2" s="37" t="n">
        <v>100</v>
      </c>
      <c r="AA2" s="39" t="inlineStr">
        <is>
          <t>Completed</t>
        </is>
      </c>
      <c r="AB2" s="38" t="n">
        <v>46099</v>
      </c>
      <c r="AC2" s="37" t="n">
        <v>85</v>
      </c>
      <c r="AD2" s="39" t="inlineStr">
        <is>
          <t>Completed</t>
        </is>
      </c>
      <c r="AE2" s="38" t="n">
        <v>46092</v>
      </c>
      <c r="AF2" s="37" t="inlineStr"/>
      <c r="AG2" s="39" t="inlineStr">
        <is>
          <t>Completed</t>
        </is>
      </c>
      <c r="AH2" s="38" t="n">
        <v>46092</v>
      </c>
      <c r="AI2" s="37" t="n">
        <v>82</v>
      </c>
      <c r="AJ2" s="40" t="inlineStr">
        <is>
          <t>Exempt</t>
        </is>
      </c>
      <c r="AK2" s="38" t="inlineStr"/>
      <c r="AL2" s="37" t="inlineStr"/>
      <c r="AM2" s="39" t="inlineStr">
        <is>
          <t>Completed</t>
        </is>
      </c>
      <c r="AN2" s="38" t="n">
        <v>46084</v>
      </c>
      <c r="AO2" s="37" t="n">
        <v>100</v>
      </c>
      <c r="AP2" s="39" t="inlineStr">
        <is>
          <t>Completed</t>
        </is>
      </c>
      <c r="AQ2" s="38" t="n">
        <v>46097</v>
      </c>
      <c r="AR2" s="37" t="n">
        <v>84</v>
      </c>
      <c r="AS2" s="39" t="inlineStr">
        <is>
          <t>Completed</t>
        </is>
      </c>
      <c r="AT2" s="38" t="n">
        <v>46098</v>
      </c>
      <c r="AU2" s="37" t="n">
        <v>82</v>
      </c>
      <c r="AV2" s="39" t="inlineStr">
        <is>
          <t>Completed</t>
        </is>
      </c>
      <c r="AW2" s="38" t="n">
        <v>46090</v>
      </c>
      <c r="AX2" s="37" t="inlineStr"/>
      <c r="AY2" s="39" t="inlineStr">
        <is>
          <t>Completed</t>
        </is>
      </c>
      <c r="AZ2" s="38" t="n">
        <v>46099</v>
      </c>
      <c r="BA2" s="37" t="n">
        <v>88</v>
      </c>
      <c r="BB2" s="39" t="inlineStr">
        <is>
          <t>Completed</t>
        </is>
      </c>
      <c r="BC2" s="38" t="n">
        <v>46100</v>
      </c>
      <c r="BD2" s="37" t="n">
        <v>80</v>
      </c>
      <c r="BE2" s="39" t="inlineStr">
        <is>
          <t>Completed</t>
        </is>
      </c>
      <c r="BF2" s="38" t="n">
        <v>46084</v>
      </c>
      <c r="BG2" s="37" t="inlineStr"/>
      <c r="BH2" s="39" t="inlineStr">
        <is>
          <t>Completed</t>
        </is>
      </c>
      <c r="BI2" s="38" t="n">
        <v>46101</v>
      </c>
      <c r="BJ2" s="37" t="n">
        <v>83</v>
      </c>
      <c r="BK2" s="39" t="inlineStr">
        <is>
          <t>Completed</t>
        </is>
      </c>
      <c r="BL2" s="38" t="n">
        <v>46113</v>
      </c>
      <c r="BM2" s="37" t="n">
        <v>82</v>
      </c>
      <c r="BN2" s="39" t="inlineStr">
        <is>
          <t>Completed</t>
        </is>
      </c>
      <c r="BO2" s="38" t="n">
        <v>46101</v>
      </c>
      <c r="BP2" s="37" t="n">
        <v>80</v>
      </c>
      <c r="BQ2" s="39" t="inlineStr">
        <is>
          <t>Completed</t>
        </is>
      </c>
      <c r="BR2" s="38" t="n">
        <v>46090</v>
      </c>
      <c r="BS2" s="37" t="n">
        <v>85</v>
      </c>
      <c r="BT2" s="39" t="inlineStr">
        <is>
          <t>Completed</t>
        </is>
      </c>
      <c r="BU2" s="38" t="n">
        <v>46100</v>
      </c>
      <c r="BV2" s="37" t="n">
        <v>87</v>
      </c>
      <c r="BW2" s="40" t="inlineStr">
        <is>
          <t>Exempt</t>
        </is>
      </c>
      <c r="BX2" s="38" t="inlineStr"/>
      <c r="BY2" s="37" t="inlineStr"/>
      <c r="BZ2" s="39" t="inlineStr">
        <is>
          <t>Completed</t>
        </is>
      </c>
      <c r="CA2" s="38" t="n">
        <v>46114</v>
      </c>
      <c r="CB2" s="37" t="inlineStr"/>
      <c r="CC2" s="40" t="inlineStr">
        <is>
          <t>Exempt</t>
        </is>
      </c>
      <c r="CD2" s="38" t="inlineStr"/>
      <c r="CE2" s="37" t="inlineStr"/>
      <c r="CF2" s="40" t="inlineStr">
        <is>
          <t>Exempt</t>
        </is>
      </c>
      <c r="CG2" s="38" t="inlineStr"/>
      <c r="CH2" s="37" t="inlineStr"/>
      <c r="CI2" s="40" t="inlineStr">
        <is>
          <t>Exempt</t>
        </is>
      </c>
      <c r="CJ2" s="38" t="inlineStr"/>
      <c r="CK2" s="37" t="inlineStr"/>
      <c r="CL2" s="40" t="inlineStr">
        <is>
          <t>Exempt</t>
        </is>
      </c>
      <c r="CM2" s="38" t="inlineStr"/>
      <c r="CN2" s="37" t="inlineStr"/>
      <c r="CO2" s="40" t="inlineStr">
        <is>
          <t>Exempt</t>
        </is>
      </c>
      <c r="CP2" s="38" t="inlineStr"/>
      <c r="CQ2" s="37" t="inlineStr"/>
      <c r="CR2">
        <f>IF(OR(F2="Completed",F2="In Progress",F2="Not Started",F2="Failed"),1,0)+IF(OR(I2="Completed",I2="In Progress",I2="Not Started",I2="Failed"),1,0)+IF(OR(L2="Completed",L2="In Progress",L2="Not Started",L2="Failed"),1,0)+IF(OR(O2="Completed",O2="In Progress",O2="Not Started",O2="Failed"),1,0)+IF(OR(R2="Completed",R2="In Progress",R2="Not Started",R2="Failed"),1,0)+IF(OR(U2="Completed",U2="In Progress",U2="Not Started",U2="Failed"),1,0)+IF(OR(X2="Completed",X2="In Progress",X2="Not Started",X2="Failed"),1,0)+IF(OR(AA2="Completed",AA2="In Progress",AA2="Not Started",AA2="Failed"),1,0)+IF(OR(AD2="Completed",AD2="In Progress",AD2="Not Started",AD2="Failed"),1,0)+IF(OR(AG2="Completed",AG2="In Progress",AG2="Not Started",AG2="Failed"),1,0)+IF(OR(AJ2="Completed",AJ2="In Progress",AJ2="Not Started",AJ2="Failed"),1,0)+IF(OR(AM2="Completed",AM2="In Progress",AM2="Not Started",AM2="Failed"),1,0)+IF(OR(AP2="Completed",AP2="In Progress",AP2="Not Started",AP2="Failed"),1,0)+IF(OR(AS2="Completed",AS2="In Progress",AS2="Not Started",AS2="Failed"),1,0)+IF(OR(AV2="Completed",AV2="In Progress",AV2="Not Started",AV2="Failed"),1,0)+IF(OR(AY2="Completed",AY2="In Progress",AY2="Not Started",AY2="Failed"),1,0)+IF(OR(BB2="Completed",BB2="In Progress",BB2="Not Started",BB2="Failed"),1,0)+IF(OR(BE2="Completed",BE2="In Progress",BE2="Not Started",BE2="Failed"),1,0)+IF(OR(BH2="Completed",BH2="In Progress",BH2="Not Started",BH2="Failed"),1,0)+IF(OR(BK2="Completed",BK2="In Progress",BK2="Not Started",BK2="Failed"),1,0)+IF(OR(BN2="Completed",BN2="In Progress",BN2="Not Started",BN2="Failed"),1,0)+IF(OR(BQ2="Completed",BQ2="In Progress",BQ2="Not Started",BQ2="Failed"),1,0)+IF(OR(BT2="Completed",BT2="In Progress",BT2="Not Started",BT2="Failed"),1,0)+IF(OR(BW2="Completed",BW2="In Progress",BW2="Not Started",BW2="Failed"),1,0)+IF(OR(BZ2="Completed",BZ2="In Progress",BZ2="Not Started",BZ2="Failed"),1,0)+IF(OR(CC2="Completed",CC2="In Progress",CC2="Not Started",CC2="Failed"),1,0)+IF(OR(CF2="Completed",CF2="In Progress",CF2="Not Started",CF2="Failed"),1,0)+IF(OR(CI2="Completed",CI2="In Progress",CI2="Not Started",CI2="Failed"),1,0)+IF(OR(CL2="Completed",CL2="In Progress",CL2="Not Started",CL2="Failed"),1,0)+IF(OR(CO2="Completed",CO2="In Progress",CO2="Not Started",CO2="Failed"),1,0)</f>
        <v/>
      </c>
      <c r="CS2">
        <f>IF(F2="Completed",1,0)+IF(I2="Completed",1,0)+IF(L2="Completed",1,0)+IF(O2="Completed",1,0)+IF(R2="Completed",1,0)+IF(U2="Completed",1,0)+IF(X2="Completed",1,0)+IF(AA2="Completed",1,0)+IF(AD2="Completed",1,0)+IF(AG2="Completed",1,0)+IF(AJ2="Completed",1,0)+IF(AM2="Completed",1,0)+IF(AP2="Completed",1,0)+IF(AS2="Completed",1,0)+IF(AV2="Completed",1,0)+IF(AY2="Completed",1,0)+IF(BB2="Completed",1,0)+IF(BE2="Completed",1,0)+IF(BH2="Completed",1,0)+IF(BK2="Completed",1,0)+IF(BN2="Completed",1,0)+IF(BQ2="Completed",1,0)+IF(BT2="Completed",1,0)+IF(BW2="Completed",1,0)+IF(BZ2="Completed",1,0)+IF(CC2="Completed",1,0)+IF(CF2="Completed",1,0)+IF(CI2="Completed",1,0)+IF(CL2="Completed",1,0)+IF(CO2="Completed",1,0)</f>
        <v/>
      </c>
      <c r="CT2" s="41">
        <f>IF(CR2=0,0,CS2/CR2)</f>
        <v/>
      </c>
      <c r="CU2" s="42">
        <f>IF((IF(H2&lt;&gt;"",1,0)+IF(K2&lt;&gt;"",1,0)+IF(N2&lt;&gt;"",1,0)+IF(Q2&lt;&gt;"",1,0)+IF(T2&lt;&gt;"",1,0)+IF(W2&lt;&gt;"",1,0)+IF(Z2&lt;&gt;"",1,0)+IF(AC2&lt;&gt;"",1,0)+IF(AF2&lt;&gt;"",1,0)+IF(AI2&lt;&gt;"",1,0)+IF(AL2&lt;&gt;"",1,0)+IF(AO2&lt;&gt;"",1,0)+IF(AR2&lt;&gt;"",1,0)+IF(AU2&lt;&gt;"",1,0)+IF(AX2&lt;&gt;"",1,0)+IF(BA2&lt;&gt;"",1,0)+IF(BD2&lt;&gt;"",1,0)+IF(BG2&lt;&gt;"",1,0)+IF(BJ2&lt;&gt;"",1,0)+IF(BM2&lt;&gt;"",1,0)+IF(BP2&lt;&gt;"",1,0)+IF(BS2&lt;&gt;"",1,0)+IF(BV2&lt;&gt;"",1,0)+IF(BY2&lt;&gt;"",1,0)+IF(CB2&lt;&gt;"",1,0)+IF(CE2&lt;&gt;"",1,0)+IF(CH2&lt;&gt;"",1,0)+IF(CK2&lt;&gt;"",1,0)+IF(CN2&lt;&gt;"",1,0)+IF(CQ2&lt;&gt;"",1,0))=0,0,(IF(H2&lt;&gt;"",H2,0)+IF(K2&lt;&gt;"",K2,0)+IF(N2&lt;&gt;"",N2,0)+IF(Q2&lt;&gt;"",Q2,0)+IF(T2&lt;&gt;"",T2,0)+IF(W2&lt;&gt;"",W2,0)+IF(Z2&lt;&gt;"",Z2,0)+IF(AC2&lt;&gt;"",AC2,0)+IF(AF2&lt;&gt;"",AF2,0)+IF(AI2&lt;&gt;"",AI2,0)+IF(AL2&lt;&gt;"",AL2,0)+IF(AO2&lt;&gt;"",AO2,0)+IF(AR2&lt;&gt;"",AR2,0)+IF(AU2&lt;&gt;"",AU2,0)+IF(AX2&lt;&gt;"",AX2,0)+IF(BA2&lt;&gt;"",BA2,0)+IF(BD2&lt;&gt;"",BD2,0)+IF(BG2&lt;&gt;"",BG2,0)+IF(BJ2&lt;&gt;"",BJ2,0)+IF(BM2&lt;&gt;"",BM2,0)+IF(BP2&lt;&gt;"",BP2,0)+IF(BS2&lt;&gt;"",BS2,0)+IF(BV2&lt;&gt;"",BV2,0)+IF(BY2&lt;&gt;"",BY2,0)+IF(CB2&lt;&gt;"",CB2,0)+IF(CE2&lt;&gt;"",CE2,0)+IF(CH2&lt;&gt;"",CH2,0)+IF(CK2&lt;&gt;"",CK2,0)+IF(CN2&lt;&gt;"",CN2,0)+IF(CQ2&lt;&gt;"",CQ2,0))/(IF(H2&lt;&gt;"",1,0)+IF(K2&lt;&gt;"",1,0)+IF(N2&lt;&gt;"",1,0)+IF(Q2&lt;&gt;"",1,0)+IF(T2&lt;&gt;"",1,0)+IF(W2&lt;&gt;"",1,0)+IF(Z2&lt;&gt;"",1,0)+IF(AC2&lt;&gt;"",1,0)+IF(AF2&lt;&gt;"",1,0)+IF(AI2&lt;&gt;"",1,0)+IF(AL2&lt;&gt;"",1,0)+IF(AO2&lt;&gt;"",1,0)+IF(AR2&lt;&gt;"",1,0)+IF(AU2&lt;&gt;"",1,0)+IF(AX2&lt;&gt;"",1,0)+IF(BA2&lt;&gt;"",1,0)+IF(BD2&lt;&gt;"",1,0)+IF(BG2&lt;&gt;"",1,0)+IF(BJ2&lt;&gt;"",1,0)+IF(BM2&lt;&gt;"",1,0)+IF(BP2&lt;&gt;"",1,0)+IF(BS2&lt;&gt;"",1,0)+IF(BV2&lt;&gt;"",1,0)+IF(BY2&lt;&gt;"",1,0)+IF(CB2&lt;&gt;"",1,0)+IF(CE2&lt;&gt;"",1,0)+IF(CH2&lt;&gt;"",1,0)+IF(CK2&lt;&gt;"",1,0)+IF(CN2&lt;&gt;"",1,0)+IF(CQ2&lt;&gt;"",1,0)))</f>
        <v/>
      </c>
      <c r="CV2">
        <f>IF(CT2&gt;=0.7,"Yes","No")</f>
        <v/>
      </c>
    </row>
    <row r="3">
      <c r="A3" s="37" t="inlineStr">
        <is>
          <t>EMP-002</t>
        </is>
      </c>
      <c r="B3" t="inlineStr">
        <is>
          <t>Sarah L. Mitchell</t>
        </is>
      </c>
      <c r="C3" t="inlineStr">
        <is>
          <t>Agent</t>
        </is>
      </c>
      <c r="D3" s="38" t="n">
        <v>46083</v>
      </c>
      <c r="E3" t="inlineStr">
        <is>
          <t>Final</t>
        </is>
      </c>
      <c r="F3" s="39" t="inlineStr">
        <is>
          <t>Completed</t>
        </is>
      </c>
      <c r="G3" s="38" t="n">
        <v>46086</v>
      </c>
      <c r="H3" s="37" t="n">
        <v>92</v>
      </c>
      <c r="I3" s="39" t="inlineStr">
        <is>
          <t>Completed</t>
        </is>
      </c>
      <c r="J3" s="38" t="n">
        <v>46086</v>
      </c>
      <c r="K3" s="37" t="n">
        <v>88</v>
      </c>
      <c r="L3" s="39" t="inlineStr">
        <is>
          <t>Completed</t>
        </is>
      </c>
      <c r="M3" s="38" t="n">
        <v>46085</v>
      </c>
      <c r="N3" s="37" t="n">
        <v>94</v>
      </c>
      <c r="O3" s="39" t="inlineStr">
        <is>
          <t>Completed</t>
        </is>
      </c>
      <c r="P3" s="38" t="n">
        <v>46091</v>
      </c>
      <c r="Q3" s="37" t="n">
        <v>82</v>
      </c>
      <c r="R3" s="39" t="inlineStr">
        <is>
          <t>Completed</t>
        </is>
      </c>
      <c r="S3" s="38" t="n">
        <v>46092</v>
      </c>
      <c r="T3" s="37" t="n">
        <v>86</v>
      </c>
      <c r="U3" s="39" t="inlineStr">
        <is>
          <t>Completed</t>
        </is>
      </c>
      <c r="V3" s="38" t="n">
        <v>46085</v>
      </c>
      <c r="W3" s="37" t="n">
        <v>88</v>
      </c>
      <c r="X3" s="39" t="inlineStr">
        <is>
          <t>Completed</t>
        </is>
      </c>
      <c r="Y3" s="38" t="n">
        <v>46084</v>
      </c>
      <c r="Z3" s="37" t="n">
        <v>100</v>
      </c>
      <c r="AA3" s="39" t="inlineStr">
        <is>
          <t>Completed</t>
        </is>
      </c>
      <c r="AB3" s="38" t="n">
        <v>46100</v>
      </c>
      <c r="AC3" s="37" t="n">
        <v>82</v>
      </c>
      <c r="AD3" s="39" t="inlineStr">
        <is>
          <t>Completed</t>
        </is>
      </c>
      <c r="AE3" s="38" t="n">
        <v>46092</v>
      </c>
      <c r="AF3" s="37" t="inlineStr"/>
      <c r="AG3" s="39" t="inlineStr">
        <is>
          <t>Completed</t>
        </is>
      </c>
      <c r="AH3" s="38" t="n">
        <v>46092</v>
      </c>
      <c r="AI3" s="37" t="n">
        <v>80</v>
      </c>
      <c r="AJ3" s="40" t="inlineStr">
        <is>
          <t>Exempt</t>
        </is>
      </c>
      <c r="AK3" s="38" t="inlineStr"/>
      <c r="AL3" s="37" t="inlineStr"/>
      <c r="AM3" s="39" t="inlineStr">
        <is>
          <t>Completed</t>
        </is>
      </c>
      <c r="AN3" s="38" t="n">
        <v>46084</v>
      </c>
      <c r="AO3" s="37" t="n">
        <v>100</v>
      </c>
      <c r="AP3" s="39" t="inlineStr">
        <is>
          <t>Completed</t>
        </is>
      </c>
      <c r="AQ3" s="38" t="n">
        <v>46097</v>
      </c>
      <c r="AR3" s="37" t="n">
        <v>80</v>
      </c>
      <c r="AS3" s="39" t="inlineStr">
        <is>
          <t>Completed</t>
        </is>
      </c>
      <c r="AT3" s="38" t="n">
        <v>46098</v>
      </c>
      <c r="AU3" s="37" t="n">
        <v>84</v>
      </c>
      <c r="AV3" s="39" t="inlineStr">
        <is>
          <t>Completed</t>
        </is>
      </c>
      <c r="AW3" s="38" t="n">
        <v>46090</v>
      </c>
      <c r="AX3" s="37" t="inlineStr"/>
      <c r="AY3" s="39" t="inlineStr">
        <is>
          <t>Completed</t>
        </is>
      </c>
      <c r="AZ3" s="38" t="n">
        <v>46099</v>
      </c>
      <c r="BA3" s="37" t="n">
        <v>86</v>
      </c>
      <c r="BB3" s="43" t="inlineStr">
        <is>
          <t>In Progress</t>
        </is>
      </c>
      <c r="BC3" s="38" t="inlineStr"/>
      <c r="BD3" s="37" t="inlineStr"/>
      <c r="BE3" s="39" t="inlineStr">
        <is>
          <t>Completed</t>
        </is>
      </c>
      <c r="BF3" s="38" t="n">
        <v>46084</v>
      </c>
      <c r="BG3" s="37" t="inlineStr"/>
      <c r="BH3" s="39" t="inlineStr">
        <is>
          <t>Completed</t>
        </is>
      </c>
      <c r="BI3" s="38" t="n">
        <v>46102</v>
      </c>
      <c r="BJ3" s="37" t="n">
        <v>85</v>
      </c>
      <c r="BK3" s="43" t="inlineStr">
        <is>
          <t>In Progress</t>
        </is>
      </c>
      <c r="BL3" s="38" t="inlineStr"/>
      <c r="BM3" s="37" t="inlineStr"/>
      <c r="BN3" s="39" t="inlineStr">
        <is>
          <t>Completed</t>
        </is>
      </c>
      <c r="BO3" s="38" t="n">
        <v>46102</v>
      </c>
      <c r="BP3" s="37" t="n">
        <v>82</v>
      </c>
      <c r="BQ3" s="39" t="inlineStr">
        <is>
          <t>Completed</t>
        </is>
      </c>
      <c r="BR3" s="38" t="n">
        <v>46090</v>
      </c>
      <c r="BS3" s="37" t="n">
        <v>80</v>
      </c>
      <c r="BT3" s="39" t="inlineStr">
        <is>
          <t>Completed</t>
        </is>
      </c>
      <c r="BU3" s="38" t="n">
        <v>46101</v>
      </c>
      <c r="BV3" s="37" t="n">
        <v>86</v>
      </c>
      <c r="BW3" s="40" t="inlineStr">
        <is>
          <t>Exempt</t>
        </is>
      </c>
      <c r="BX3" s="38" t="inlineStr"/>
      <c r="BY3" s="37" t="inlineStr"/>
      <c r="BZ3" s="43" t="inlineStr">
        <is>
          <t>In Progress</t>
        </is>
      </c>
      <c r="CA3" s="38" t="inlineStr"/>
      <c r="CB3" s="37" t="inlineStr"/>
      <c r="CC3" s="40" t="inlineStr">
        <is>
          <t>Exempt</t>
        </is>
      </c>
      <c r="CD3" s="38" t="inlineStr"/>
      <c r="CE3" s="37" t="inlineStr"/>
      <c r="CF3" s="40" t="inlineStr">
        <is>
          <t>Exempt</t>
        </is>
      </c>
      <c r="CG3" s="38" t="inlineStr"/>
      <c r="CH3" s="37" t="inlineStr"/>
      <c r="CI3" s="40" t="inlineStr">
        <is>
          <t>Exempt</t>
        </is>
      </c>
      <c r="CJ3" s="38" t="inlineStr"/>
      <c r="CK3" s="37" t="inlineStr"/>
      <c r="CL3" s="40" t="inlineStr">
        <is>
          <t>Exempt</t>
        </is>
      </c>
      <c r="CM3" s="38" t="inlineStr"/>
      <c r="CN3" s="37" t="inlineStr"/>
      <c r="CO3" s="40" t="inlineStr">
        <is>
          <t>Exempt</t>
        </is>
      </c>
      <c r="CP3" s="38" t="inlineStr"/>
      <c r="CQ3" s="37" t="inlineStr"/>
      <c r="CR3">
        <f>IF(OR(F3="Completed",F3="In Progress",F3="Not Started",F3="Failed"),1,0)+IF(OR(I3="Completed",I3="In Progress",I3="Not Started",I3="Failed"),1,0)+IF(OR(L3="Completed",L3="In Progress",L3="Not Started",L3="Failed"),1,0)+IF(OR(O3="Completed",O3="In Progress",O3="Not Started",O3="Failed"),1,0)+IF(OR(R3="Completed",R3="In Progress",R3="Not Started",R3="Failed"),1,0)+IF(OR(U3="Completed",U3="In Progress",U3="Not Started",U3="Failed"),1,0)+IF(OR(X3="Completed",X3="In Progress",X3="Not Started",X3="Failed"),1,0)+IF(OR(AA3="Completed",AA3="In Progress",AA3="Not Started",AA3="Failed"),1,0)+IF(OR(AD3="Completed",AD3="In Progress",AD3="Not Started",AD3="Failed"),1,0)+IF(OR(AG3="Completed",AG3="In Progress",AG3="Not Started",AG3="Failed"),1,0)+IF(OR(AJ3="Completed",AJ3="In Progress",AJ3="Not Started",AJ3="Failed"),1,0)+IF(OR(AM3="Completed",AM3="In Progress",AM3="Not Started",AM3="Failed"),1,0)+IF(OR(AP3="Completed",AP3="In Progress",AP3="Not Started",AP3="Failed"),1,0)+IF(OR(AS3="Completed",AS3="In Progress",AS3="Not Started",AS3="Failed"),1,0)+IF(OR(AV3="Completed",AV3="In Progress",AV3="Not Started",AV3="Failed"),1,0)+IF(OR(AY3="Completed",AY3="In Progress",AY3="Not Started",AY3="Failed"),1,0)+IF(OR(BB3="Completed",BB3="In Progress",BB3="Not Started",BB3="Failed"),1,0)+IF(OR(BE3="Completed",BE3="In Progress",BE3="Not Started",BE3="Failed"),1,0)+IF(OR(BH3="Completed",BH3="In Progress",BH3="Not Started",BH3="Failed"),1,0)+IF(OR(BK3="Completed",BK3="In Progress",BK3="Not Started",BK3="Failed"),1,0)+IF(OR(BN3="Completed",BN3="In Progress",BN3="Not Started",BN3="Failed"),1,0)+IF(OR(BQ3="Completed",BQ3="In Progress",BQ3="Not Started",BQ3="Failed"),1,0)+IF(OR(BT3="Completed",BT3="In Progress",BT3="Not Started",BT3="Failed"),1,0)+IF(OR(BW3="Completed",BW3="In Progress",BW3="Not Started",BW3="Failed"),1,0)+IF(OR(BZ3="Completed",BZ3="In Progress",BZ3="Not Started",BZ3="Failed"),1,0)+IF(OR(CC3="Completed",CC3="In Progress",CC3="Not Started",CC3="Failed"),1,0)+IF(OR(CF3="Completed",CF3="In Progress",CF3="Not Started",CF3="Failed"),1,0)+IF(OR(CI3="Completed",CI3="In Progress",CI3="Not Started",CI3="Failed"),1,0)+IF(OR(CL3="Completed",CL3="In Progress",CL3="Not Started",CL3="Failed"),1,0)+IF(OR(CO3="Completed",CO3="In Progress",CO3="Not Started",CO3="Failed"),1,0)</f>
        <v/>
      </c>
      <c r="CS3">
        <f>IF(F3="Completed",1,0)+IF(I3="Completed",1,0)+IF(L3="Completed",1,0)+IF(O3="Completed",1,0)+IF(R3="Completed",1,0)+IF(U3="Completed",1,0)+IF(X3="Completed",1,0)+IF(AA3="Completed",1,0)+IF(AD3="Completed",1,0)+IF(AG3="Completed",1,0)+IF(AJ3="Completed",1,0)+IF(AM3="Completed",1,0)+IF(AP3="Completed",1,0)+IF(AS3="Completed",1,0)+IF(AV3="Completed",1,0)+IF(AY3="Completed",1,0)+IF(BB3="Completed",1,0)+IF(BE3="Completed",1,0)+IF(BH3="Completed",1,0)+IF(BK3="Completed",1,0)+IF(BN3="Completed",1,0)+IF(BQ3="Completed",1,0)+IF(BT3="Completed",1,0)+IF(BW3="Completed",1,0)+IF(BZ3="Completed",1,0)+IF(CC3="Completed",1,0)+IF(CF3="Completed",1,0)+IF(CI3="Completed",1,0)+IF(CL3="Completed",1,0)+IF(CO3="Completed",1,0)</f>
        <v/>
      </c>
      <c r="CT3" s="41">
        <f>IF(CR3=0,0,CS3/CR3)</f>
        <v/>
      </c>
      <c r="CU3" s="42">
        <f>IF((IF(H3&lt;&gt;"",1,0)+IF(K3&lt;&gt;"",1,0)+IF(N3&lt;&gt;"",1,0)+IF(Q3&lt;&gt;"",1,0)+IF(T3&lt;&gt;"",1,0)+IF(W3&lt;&gt;"",1,0)+IF(Z3&lt;&gt;"",1,0)+IF(AC3&lt;&gt;"",1,0)+IF(AF3&lt;&gt;"",1,0)+IF(AI3&lt;&gt;"",1,0)+IF(AL3&lt;&gt;"",1,0)+IF(AO3&lt;&gt;"",1,0)+IF(AR3&lt;&gt;"",1,0)+IF(AU3&lt;&gt;"",1,0)+IF(AX3&lt;&gt;"",1,0)+IF(BA3&lt;&gt;"",1,0)+IF(BD3&lt;&gt;"",1,0)+IF(BG3&lt;&gt;"",1,0)+IF(BJ3&lt;&gt;"",1,0)+IF(BM3&lt;&gt;"",1,0)+IF(BP3&lt;&gt;"",1,0)+IF(BS3&lt;&gt;"",1,0)+IF(BV3&lt;&gt;"",1,0)+IF(BY3&lt;&gt;"",1,0)+IF(CB3&lt;&gt;"",1,0)+IF(CE3&lt;&gt;"",1,0)+IF(CH3&lt;&gt;"",1,0)+IF(CK3&lt;&gt;"",1,0)+IF(CN3&lt;&gt;"",1,0)+IF(CQ3&lt;&gt;"",1,0))=0,0,(IF(H3&lt;&gt;"",H3,0)+IF(K3&lt;&gt;"",K3,0)+IF(N3&lt;&gt;"",N3,0)+IF(Q3&lt;&gt;"",Q3,0)+IF(T3&lt;&gt;"",T3,0)+IF(W3&lt;&gt;"",W3,0)+IF(Z3&lt;&gt;"",Z3,0)+IF(AC3&lt;&gt;"",AC3,0)+IF(AF3&lt;&gt;"",AF3,0)+IF(AI3&lt;&gt;"",AI3,0)+IF(AL3&lt;&gt;"",AL3,0)+IF(AO3&lt;&gt;"",AO3,0)+IF(AR3&lt;&gt;"",AR3,0)+IF(AU3&lt;&gt;"",AU3,0)+IF(AX3&lt;&gt;"",AX3,0)+IF(BA3&lt;&gt;"",BA3,0)+IF(BD3&lt;&gt;"",BD3,0)+IF(BG3&lt;&gt;"",BG3,0)+IF(BJ3&lt;&gt;"",BJ3,0)+IF(BM3&lt;&gt;"",BM3,0)+IF(BP3&lt;&gt;"",BP3,0)+IF(BS3&lt;&gt;"",BS3,0)+IF(BV3&lt;&gt;"",BV3,0)+IF(BY3&lt;&gt;"",BY3,0)+IF(CB3&lt;&gt;"",CB3,0)+IF(CE3&lt;&gt;"",CE3,0)+IF(CH3&lt;&gt;"",CH3,0)+IF(CK3&lt;&gt;"",CK3,0)+IF(CN3&lt;&gt;"",CN3,0)+IF(CQ3&lt;&gt;"",CQ3,0))/(IF(H3&lt;&gt;"",1,0)+IF(K3&lt;&gt;"",1,0)+IF(N3&lt;&gt;"",1,0)+IF(Q3&lt;&gt;"",1,0)+IF(T3&lt;&gt;"",1,0)+IF(W3&lt;&gt;"",1,0)+IF(Z3&lt;&gt;"",1,0)+IF(AC3&lt;&gt;"",1,0)+IF(AF3&lt;&gt;"",1,0)+IF(AI3&lt;&gt;"",1,0)+IF(AL3&lt;&gt;"",1,0)+IF(AO3&lt;&gt;"",1,0)+IF(AR3&lt;&gt;"",1,0)+IF(AU3&lt;&gt;"",1,0)+IF(AX3&lt;&gt;"",1,0)+IF(BA3&lt;&gt;"",1,0)+IF(BD3&lt;&gt;"",1,0)+IF(BG3&lt;&gt;"",1,0)+IF(BJ3&lt;&gt;"",1,0)+IF(BM3&lt;&gt;"",1,0)+IF(BP3&lt;&gt;"",1,0)+IF(BS3&lt;&gt;"",1,0)+IF(BV3&lt;&gt;"",1,0)+IF(BY3&lt;&gt;"",1,0)+IF(CB3&lt;&gt;"",1,0)+IF(CE3&lt;&gt;"",1,0)+IF(CH3&lt;&gt;"",1,0)+IF(CK3&lt;&gt;"",1,0)+IF(CN3&lt;&gt;"",1,0)+IF(CQ3&lt;&gt;"",1,0)))</f>
        <v/>
      </c>
      <c r="CV3">
        <f>IF(CT3&gt;=0.7,"Yes","No")</f>
        <v/>
      </c>
    </row>
    <row r="4">
      <c r="A4" s="37" t="inlineStr">
        <is>
          <t>EMP-003</t>
        </is>
      </c>
      <c r="B4" t="inlineStr">
        <is>
          <t>David R. Hernandez</t>
        </is>
      </c>
      <c r="C4" t="inlineStr">
        <is>
          <t>Senior Agent</t>
        </is>
      </c>
      <c r="D4" s="38" t="n">
        <v>46083</v>
      </c>
      <c r="E4" t="inlineStr">
        <is>
          <t>Final</t>
        </is>
      </c>
      <c r="F4" s="39" t="inlineStr">
        <is>
          <t>Completed</t>
        </is>
      </c>
      <c r="G4" s="38" t="n">
        <v>46085</v>
      </c>
      <c r="H4" s="37" t="n">
        <v>96</v>
      </c>
      <c r="I4" s="39" t="inlineStr">
        <is>
          <t>Completed</t>
        </is>
      </c>
      <c r="J4" s="38" t="n">
        <v>46085</v>
      </c>
      <c r="K4" s="37" t="n">
        <v>92</v>
      </c>
      <c r="L4" s="39" t="inlineStr">
        <is>
          <t>Completed</t>
        </is>
      </c>
      <c r="M4" s="38" t="n">
        <v>46085</v>
      </c>
      <c r="N4" s="37" t="n">
        <v>95</v>
      </c>
      <c r="O4" s="39" t="inlineStr">
        <is>
          <t>Completed</t>
        </is>
      </c>
      <c r="P4" s="38" t="n">
        <v>46090</v>
      </c>
      <c r="Q4" s="37" t="n">
        <v>88</v>
      </c>
      <c r="R4" s="39" t="inlineStr">
        <is>
          <t>Completed</t>
        </is>
      </c>
      <c r="S4" s="38" t="n">
        <v>46091</v>
      </c>
      <c r="T4" s="37" t="n">
        <v>90</v>
      </c>
      <c r="U4" s="39" t="inlineStr">
        <is>
          <t>Completed</t>
        </is>
      </c>
      <c r="V4" s="38" t="n">
        <v>46085</v>
      </c>
      <c r="W4" s="37" t="n">
        <v>92</v>
      </c>
      <c r="X4" s="39" t="inlineStr">
        <is>
          <t>Completed</t>
        </is>
      </c>
      <c r="Y4" s="38" t="n">
        <v>46084</v>
      </c>
      <c r="Z4" s="37" t="n">
        <v>100</v>
      </c>
      <c r="AA4" s="39" t="inlineStr">
        <is>
          <t>Completed</t>
        </is>
      </c>
      <c r="AB4" s="38" t="n">
        <v>46098</v>
      </c>
      <c r="AC4" s="37" t="n">
        <v>88</v>
      </c>
      <c r="AD4" s="39" t="inlineStr">
        <is>
          <t>Completed</t>
        </is>
      </c>
      <c r="AE4" s="38" t="n">
        <v>46090</v>
      </c>
      <c r="AF4" s="37" t="inlineStr"/>
      <c r="AG4" s="39" t="inlineStr">
        <is>
          <t>Completed</t>
        </is>
      </c>
      <c r="AH4" s="38" t="n">
        <v>46091</v>
      </c>
      <c r="AI4" s="37" t="n">
        <v>85</v>
      </c>
      <c r="AJ4" s="39" t="inlineStr">
        <is>
          <t>Completed</t>
        </is>
      </c>
      <c r="AK4" s="38" t="n">
        <v>46118</v>
      </c>
      <c r="AL4" s="37" t="n">
        <v>84</v>
      </c>
      <c r="AM4" s="39" t="inlineStr">
        <is>
          <t>Completed</t>
        </is>
      </c>
      <c r="AN4" s="38" t="n">
        <v>46084</v>
      </c>
      <c r="AO4" s="37" t="n">
        <v>100</v>
      </c>
      <c r="AP4" s="39" t="inlineStr">
        <is>
          <t>Completed</t>
        </is>
      </c>
      <c r="AQ4" s="38" t="n">
        <v>46096</v>
      </c>
      <c r="AR4" s="37" t="n">
        <v>86</v>
      </c>
      <c r="AS4" s="39" t="inlineStr">
        <is>
          <t>Completed</t>
        </is>
      </c>
      <c r="AT4" s="38" t="n">
        <v>46097</v>
      </c>
      <c r="AU4" s="37" t="n">
        <v>85</v>
      </c>
      <c r="AV4" s="39" t="inlineStr">
        <is>
          <t>Completed</t>
        </is>
      </c>
      <c r="AW4" s="38" t="n">
        <v>46090</v>
      </c>
      <c r="AX4" s="37" t="inlineStr"/>
      <c r="AY4" s="39" t="inlineStr">
        <is>
          <t>Completed</t>
        </is>
      </c>
      <c r="AZ4" s="38" t="n">
        <v>46098</v>
      </c>
      <c r="BA4" s="37" t="n">
        <v>90</v>
      </c>
      <c r="BB4" s="39" t="inlineStr">
        <is>
          <t>Completed</t>
        </is>
      </c>
      <c r="BC4" s="38" t="n">
        <v>46099</v>
      </c>
      <c r="BD4" s="37" t="n">
        <v>82</v>
      </c>
      <c r="BE4" s="39" t="inlineStr">
        <is>
          <t>Completed</t>
        </is>
      </c>
      <c r="BF4" s="38" t="n">
        <v>46084</v>
      </c>
      <c r="BG4" s="37" t="inlineStr"/>
      <c r="BH4" s="39" t="inlineStr">
        <is>
          <t>Completed</t>
        </is>
      </c>
      <c r="BI4" s="38" t="n">
        <v>46100</v>
      </c>
      <c r="BJ4" s="37" t="n">
        <v>88</v>
      </c>
      <c r="BK4" s="39" t="inlineStr">
        <is>
          <t>Completed</t>
        </is>
      </c>
      <c r="BL4" s="38" t="n">
        <v>46111</v>
      </c>
      <c r="BM4" s="37" t="n">
        <v>85</v>
      </c>
      <c r="BN4" s="39" t="inlineStr">
        <is>
          <t>Completed</t>
        </is>
      </c>
      <c r="BO4" s="38" t="n">
        <v>46100</v>
      </c>
      <c r="BP4" s="37" t="n">
        <v>84</v>
      </c>
      <c r="BQ4" s="39" t="inlineStr">
        <is>
          <t>Completed</t>
        </is>
      </c>
      <c r="BR4" s="38" t="n">
        <v>46090</v>
      </c>
      <c r="BS4" s="37" t="n">
        <v>82</v>
      </c>
      <c r="BT4" s="39" t="inlineStr">
        <is>
          <t>Completed</t>
        </is>
      </c>
      <c r="BU4" s="38" t="n">
        <v>46099</v>
      </c>
      <c r="BV4" s="37" t="n">
        <v>90</v>
      </c>
      <c r="BW4" s="40" t="inlineStr">
        <is>
          <t>Exempt</t>
        </is>
      </c>
      <c r="BX4" s="38" t="inlineStr"/>
      <c r="BY4" s="37" t="inlineStr"/>
      <c r="BZ4" s="39" t="inlineStr">
        <is>
          <t>Completed</t>
        </is>
      </c>
      <c r="CA4" s="38" t="n">
        <v>46114</v>
      </c>
      <c r="CB4" s="37" t="inlineStr"/>
      <c r="CC4" s="39" t="inlineStr">
        <is>
          <t>Completed</t>
        </is>
      </c>
      <c r="CD4" s="38" t="n">
        <v>46119</v>
      </c>
      <c r="CE4" s="37" t="n">
        <v>82</v>
      </c>
      <c r="CF4" s="40" t="inlineStr">
        <is>
          <t>Exempt</t>
        </is>
      </c>
      <c r="CG4" s="38" t="inlineStr"/>
      <c r="CH4" s="37" t="inlineStr"/>
      <c r="CI4" s="40" t="inlineStr">
        <is>
          <t>Exempt</t>
        </is>
      </c>
      <c r="CJ4" s="38" t="inlineStr"/>
      <c r="CK4" s="37" t="inlineStr"/>
      <c r="CL4" s="40" t="inlineStr">
        <is>
          <t>Exempt</t>
        </is>
      </c>
      <c r="CM4" s="38" t="inlineStr"/>
      <c r="CN4" s="37" t="inlineStr"/>
      <c r="CO4" s="40" t="inlineStr">
        <is>
          <t>Exempt</t>
        </is>
      </c>
      <c r="CP4" s="38" t="inlineStr"/>
      <c r="CQ4" s="37" t="inlineStr"/>
      <c r="CR4">
        <f>IF(OR(F4="Completed",F4="In Progress",F4="Not Started",F4="Failed"),1,0)+IF(OR(I4="Completed",I4="In Progress",I4="Not Started",I4="Failed"),1,0)+IF(OR(L4="Completed",L4="In Progress",L4="Not Started",L4="Failed"),1,0)+IF(OR(O4="Completed",O4="In Progress",O4="Not Started",O4="Failed"),1,0)+IF(OR(R4="Completed",R4="In Progress",R4="Not Started",R4="Failed"),1,0)+IF(OR(U4="Completed",U4="In Progress",U4="Not Started",U4="Failed"),1,0)+IF(OR(X4="Completed",X4="In Progress",X4="Not Started",X4="Failed"),1,0)+IF(OR(AA4="Completed",AA4="In Progress",AA4="Not Started",AA4="Failed"),1,0)+IF(OR(AD4="Completed",AD4="In Progress",AD4="Not Started",AD4="Failed"),1,0)+IF(OR(AG4="Completed",AG4="In Progress",AG4="Not Started",AG4="Failed"),1,0)+IF(OR(AJ4="Completed",AJ4="In Progress",AJ4="Not Started",AJ4="Failed"),1,0)+IF(OR(AM4="Completed",AM4="In Progress",AM4="Not Started",AM4="Failed"),1,0)+IF(OR(AP4="Completed",AP4="In Progress",AP4="Not Started",AP4="Failed"),1,0)+IF(OR(AS4="Completed",AS4="In Progress",AS4="Not Started",AS4="Failed"),1,0)+IF(OR(AV4="Completed",AV4="In Progress",AV4="Not Started",AV4="Failed"),1,0)+IF(OR(AY4="Completed",AY4="In Progress",AY4="Not Started",AY4="Failed"),1,0)+IF(OR(BB4="Completed",BB4="In Progress",BB4="Not Started",BB4="Failed"),1,0)+IF(OR(BE4="Completed",BE4="In Progress",BE4="Not Started",BE4="Failed"),1,0)+IF(OR(BH4="Completed",BH4="In Progress",BH4="Not Started",BH4="Failed"),1,0)+IF(OR(BK4="Completed",BK4="In Progress",BK4="Not Started",BK4="Failed"),1,0)+IF(OR(BN4="Completed",BN4="In Progress",BN4="Not Started",BN4="Failed"),1,0)+IF(OR(BQ4="Completed",BQ4="In Progress",BQ4="Not Started",BQ4="Failed"),1,0)+IF(OR(BT4="Completed",BT4="In Progress",BT4="Not Started",BT4="Failed"),1,0)+IF(OR(BW4="Completed",BW4="In Progress",BW4="Not Started",BW4="Failed"),1,0)+IF(OR(BZ4="Completed",BZ4="In Progress",BZ4="Not Started",BZ4="Failed"),1,0)+IF(OR(CC4="Completed",CC4="In Progress",CC4="Not Started",CC4="Failed"),1,0)+IF(OR(CF4="Completed",CF4="In Progress",CF4="Not Started",CF4="Failed"),1,0)+IF(OR(CI4="Completed",CI4="In Progress",CI4="Not Started",CI4="Failed"),1,0)+IF(OR(CL4="Completed",CL4="In Progress",CL4="Not Started",CL4="Failed"),1,0)+IF(OR(CO4="Completed",CO4="In Progress",CO4="Not Started",CO4="Failed"),1,0)</f>
        <v/>
      </c>
      <c r="CS4">
        <f>IF(F4="Completed",1,0)+IF(I4="Completed",1,0)+IF(L4="Completed",1,0)+IF(O4="Completed",1,0)+IF(R4="Completed",1,0)+IF(U4="Completed",1,0)+IF(X4="Completed",1,0)+IF(AA4="Completed",1,0)+IF(AD4="Completed",1,0)+IF(AG4="Completed",1,0)+IF(AJ4="Completed",1,0)+IF(AM4="Completed",1,0)+IF(AP4="Completed",1,0)+IF(AS4="Completed",1,0)+IF(AV4="Completed",1,0)+IF(AY4="Completed",1,0)+IF(BB4="Completed",1,0)+IF(BE4="Completed",1,0)+IF(BH4="Completed",1,0)+IF(BK4="Completed",1,0)+IF(BN4="Completed",1,0)+IF(BQ4="Completed",1,0)+IF(BT4="Completed",1,0)+IF(BW4="Completed",1,0)+IF(BZ4="Completed",1,0)+IF(CC4="Completed",1,0)+IF(CF4="Completed",1,0)+IF(CI4="Completed",1,0)+IF(CL4="Completed",1,0)+IF(CO4="Completed",1,0)</f>
        <v/>
      </c>
      <c r="CT4" s="41">
        <f>IF(CR4=0,0,CS4/CR4)</f>
        <v/>
      </c>
      <c r="CU4" s="42">
        <f>IF((IF(H4&lt;&gt;"",1,0)+IF(K4&lt;&gt;"",1,0)+IF(N4&lt;&gt;"",1,0)+IF(Q4&lt;&gt;"",1,0)+IF(T4&lt;&gt;"",1,0)+IF(W4&lt;&gt;"",1,0)+IF(Z4&lt;&gt;"",1,0)+IF(AC4&lt;&gt;"",1,0)+IF(AF4&lt;&gt;"",1,0)+IF(AI4&lt;&gt;"",1,0)+IF(AL4&lt;&gt;"",1,0)+IF(AO4&lt;&gt;"",1,0)+IF(AR4&lt;&gt;"",1,0)+IF(AU4&lt;&gt;"",1,0)+IF(AX4&lt;&gt;"",1,0)+IF(BA4&lt;&gt;"",1,0)+IF(BD4&lt;&gt;"",1,0)+IF(BG4&lt;&gt;"",1,0)+IF(BJ4&lt;&gt;"",1,0)+IF(BM4&lt;&gt;"",1,0)+IF(BP4&lt;&gt;"",1,0)+IF(BS4&lt;&gt;"",1,0)+IF(BV4&lt;&gt;"",1,0)+IF(BY4&lt;&gt;"",1,0)+IF(CB4&lt;&gt;"",1,0)+IF(CE4&lt;&gt;"",1,0)+IF(CH4&lt;&gt;"",1,0)+IF(CK4&lt;&gt;"",1,0)+IF(CN4&lt;&gt;"",1,0)+IF(CQ4&lt;&gt;"",1,0))=0,0,(IF(H4&lt;&gt;"",H4,0)+IF(K4&lt;&gt;"",K4,0)+IF(N4&lt;&gt;"",N4,0)+IF(Q4&lt;&gt;"",Q4,0)+IF(T4&lt;&gt;"",T4,0)+IF(W4&lt;&gt;"",W4,0)+IF(Z4&lt;&gt;"",Z4,0)+IF(AC4&lt;&gt;"",AC4,0)+IF(AF4&lt;&gt;"",AF4,0)+IF(AI4&lt;&gt;"",AI4,0)+IF(AL4&lt;&gt;"",AL4,0)+IF(AO4&lt;&gt;"",AO4,0)+IF(AR4&lt;&gt;"",AR4,0)+IF(AU4&lt;&gt;"",AU4,0)+IF(AX4&lt;&gt;"",AX4,0)+IF(BA4&lt;&gt;"",BA4,0)+IF(BD4&lt;&gt;"",BD4,0)+IF(BG4&lt;&gt;"",BG4,0)+IF(BJ4&lt;&gt;"",BJ4,0)+IF(BM4&lt;&gt;"",BM4,0)+IF(BP4&lt;&gt;"",BP4,0)+IF(BS4&lt;&gt;"",BS4,0)+IF(BV4&lt;&gt;"",BV4,0)+IF(BY4&lt;&gt;"",BY4,0)+IF(CB4&lt;&gt;"",CB4,0)+IF(CE4&lt;&gt;"",CE4,0)+IF(CH4&lt;&gt;"",CH4,0)+IF(CK4&lt;&gt;"",CK4,0)+IF(CN4&lt;&gt;"",CN4,0)+IF(CQ4&lt;&gt;"",CQ4,0))/(IF(H4&lt;&gt;"",1,0)+IF(K4&lt;&gt;"",1,0)+IF(N4&lt;&gt;"",1,0)+IF(Q4&lt;&gt;"",1,0)+IF(T4&lt;&gt;"",1,0)+IF(W4&lt;&gt;"",1,0)+IF(Z4&lt;&gt;"",1,0)+IF(AC4&lt;&gt;"",1,0)+IF(AF4&lt;&gt;"",1,0)+IF(AI4&lt;&gt;"",1,0)+IF(AL4&lt;&gt;"",1,0)+IF(AO4&lt;&gt;"",1,0)+IF(AR4&lt;&gt;"",1,0)+IF(AU4&lt;&gt;"",1,0)+IF(AX4&lt;&gt;"",1,0)+IF(BA4&lt;&gt;"",1,0)+IF(BD4&lt;&gt;"",1,0)+IF(BG4&lt;&gt;"",1,0)+IF(BJ4&lt;&gt;"",1,0)+IF(BM4&lt;&gt;"",1,0)+IF(BP4&lt;&gt;"",1,0)+IF(BS4&lt;&gt;"",1,0)+IF(BV4&lt;&gt;"",1,0)+IF(BY4&lt;&gt;"",1,0)+IF(CB4&lt;&gt;"",1,0)+IF(CE4&lt;&gt;"",1,0)+IF(CH4&lt;&gt;"",1,0)+IF(CK4&lt;&gt;"",1,0)+IF(CN4&lt;&gt;"",1,0)+IF(CQ4&lt;&gt;"",1,0)))</f>
        <v/>
      </c>
      <c r="CV4">
        <f>IF(CT4&gt;=0.7,"Yes","No")</f>
        <v/>
      </c>
    </row>
    <row r="5">
      <c r="A5" s="37" t="inlineStr">
        <is>
          <t>EMP-004</t>
        </is>
      </c>
      <c r="B5" t="inlineStr">
        <is>
          <t>Jennifer A. Collins</t>
        </is>
      </c>
      <c r="C5" t="inlineStr">
        <is>
          <t>Team Lead</t>
        </is>
      </c>
      <c r="D5" s="38" t="n">
        <v>46090</v>
      </c>
      <c r="E5" t="inlineStr">
        <is>
          <t>Final</t>
        </is>
      </c>
      <c r="F5" s="39" t="inlineStr">
        <is>
          <t>Completed</t>
        </is>
      </c>
      <c r="G5" s="38" t="n">
        <v>46092</v>
      </c>
      <c r="H5" s="37" t="n">
        <v>94</v>
      </c>
      <c r="I5" s="39" t="inlineStr">
        <is>
          <t>Completed</t>
        </is>
      </c>
      <c r="J5" s="38" t="n">
        <v>46092</v>
      </c>
      <c r="K5" s="37" t="n">
        <v>90</v>
      </c>
      <c r="L5" s="39" t="inlineStr">
        <is>
          <t>Completed</t>
        </is>
      </c>
      <c r="M5" s="38" t="n">
        <v>46091</v>
      </c>
      <c r="N5" s="37" t="n">
        <v>92</v>
      </c>
      <c r="O5" s="39" t="inlineStr">
        <is>
          <t>Completed</t>
        </is>
      </c>
      <c r="P5" s="38" t="n">
        <v>46097</v>
      </c>
      <c r="Q5" s="37" t="n">
        <v>86</v>
      </c>
      <c r="R5" s="39" t="inlineStr">
        <is>
          <t>Completed</t>
        </is>
      </c>
      <c r="S5" s="38" t="n">
        <v>46098</v>
      </c>
      <c r="T5" s="37" t="n">
        <v>88</v>
      </c>
      <c r="U5" s="39" t="inlineStr">
        <is>
          <t>Completed</t>
        </is>
      </c>
      <c r="V5" s="38" t="n">
        <v>46091</v>
      </c>
      <c r="W5" s="37" t="n">
        <v>90</v>
      </c>
      <c r="X5" s="39" t="inlineStr">
        <is>
          <t>Completed</t>
        </is>
      </c>
      <c r="Y5" s="38" t="n">
        <v>46090</v>
      </c>
      <c r="Z5" s="37" t="n">
        <v>100</v>
      </c>
      <c r="AA5" s="40" t="inlineStr">
        <is>
          <t>Exempt</t>
        </is>
      </c>
      <c r="AB5" s="38" t="inlineStr"/>
      <c r="AC5" s="37" t="inlineStr"/>
      <c r="AD5" s="39" t="inlineStr">
        <is>
          <t>Completed</t>
        </is>
      </c>
      <c r="AE5" s="38" t="n">
        <v>46097</v>
      </c>
      <c r="AF5" s="37" t="inlineStr"/>
      <c r="AG5" s="39" t="inlineStr">
        <is>
          <t>Completed</t>
        </is>
      </c>
      <c r="AH5" s="38" t="n">
        <v>46098</v>
      </c>
      <c r="AI5" s="37" t="n">
        <v>84</v>
      </c>
      <c r="AJ5" s="39" t="inlineStr">
        <is>
          <t>Completed</t>
        </is>
      </c>
      <c r="AK5" s="38" t="n">
        <v>46120</v>
      </c>
      <c r="AL5" s="37" t="n">
        <v>82</v>
      </c>
      <c r="AM5" s="39" t="inlineStr">
        <is>
          <t>Completed</t>
        </is>
      </c>
      <c r="AN5" s="38" t="n">
        <v>46090</v>
      </c>
      <c r="AO5" s="37" t="n">
        <v>100</v>
      </c>
      <c r="AP5" s="39" t="inlineStr">
        <is>
          <t>Completed</t>
        </is>
      </c>
      <c r="AQ5" s="38" t="n">
        <v>46104</v>
      </c>
      <c r="AR5" s="37" t="n">
        <v>88</v>
      </c>
      <c r="AS5" s="39" t="inlineStr">
        <is>
          <t>Completed</t>
        </is>
      </c>
      <c r="AT5" s="38" t="n">
        <v>46105</v>
      </c>
      <c r="AU5" s="37" t="n">
        <v>86</v>
      </c>
      <c r="AV5" s="39" t="inlineStr">
        <is>
          <t>Completed</t>
        </is>
      </c>
      <c r="AW5" s="38" t="n">
        <v>46096</v>
      </c>
      <c r="AX5" s="37" t="inlineStr"/>
      <c r="AY5" s="39" t="inlineStr">
        <is>
          <t>Completed</t>
        </is>
      </c>
      <c r="AZ5" s="38" t="n">
        <v>46106</v>
      </c>
      <c r="BA5" s="37" t="n">
        <v>90</v>
      </c>
      <c r="BB5" s="39" t="inlineStr">
        <is>
          <t>Completed</t>
        </is>
      </c>
      <c r="BC5" s="38" t="n">
        <v>46107</v>
      </c>
      <c r="BD5" s="37" t="n">
        <v>84</v>
      </c>
      <c r="BE5" s="39" t="inlineStr">
        <is>
          <t>Completed</t>
        </is>
      </c>
      <c r="BF5" s="38" t="n">
        <v>46090</v>
      </c>
      <c r="BG5" s="37" t="inlineStr"/>
      <c r="BH5" s="40" t="inlineStr">
        <is>
          <t>Exempt</t>
        </is>
      </c>
      <c r="BI5" s="38" t="inlineStr"/>
      <c r="BJ5" s="37" t="inlineStr"/>
      <c r="BK5" s="40" t="inlineStr">
        <is>
          <t>Exempt</t>
        </is>
      </c>
      <c r="BL5" s="38" t="inlineStr"/>
      <c r="BM5" s="37" t="inlineStr"/>
      <c r="BN5" s="40" t="inlineStr">
        <is>
          <t>Exempt</t>
        </is>
      </c>
      <c r="BO5" s="38" t="inlineStr"/>
      <c r="BP5" s="37" t="inlineStr"/>
      <c r="BQ5" s="39" t="inlineStr">
        <is>
          <t>Completed</t>
        </is>
      </c>
      <c r="BR5" s="38" t="n">
        <v>46097</v>
      </c>
      <c r="BS5" s="37" t="n">
        <v>84</v>
      </c>
      <c r="BT5" s="39" t="inlineStr">
        <is>
          <t>Completed</t>
        </is>
      </c>
      <c r="BU5" s="38" t="n">
        <v>46107</v>
      </c>
      <c r="BV5" s="37" t="n">
        <v>88</v>
      </c>
      <c r="BW5" s="40" t="inlineStr">
        <is>
          <t>Exempt</t>
        </is>
      </c>
      <c r="BX5" s="38" t="inlineStr"/>
      <c r="BY5" s="37" t="inlineStr"/>
      <c r="BZ5" s="39" t="inlineStr">
        <is>
          <t>Completed</t>
        </is>
      </c>
      <c r="CA5" s="38" t="n">
        <v>46121</v>
      </c>
      <c r="CB5" s="37" t="inlineStr"/>
      <c r="CC5" s="39" t="inlineStr">
        <is>
          <t>Completed</t>
        </is>
      </c>
      <c r="CD5" s="38" t="n">
        <v>46122</v>
      </c>
      <c r="CE5" s="37" t="n">
        <v>84</v>
      </c>
      <c r="CF5" s="40" t="inlineStr">
        <is>
          <t>Exempt</t>
        </is>
      </c>
      <c r="CG5" s="38" t="inlineStr"/>
      <c r="CH5" s="37" t="inlineStr"/>
      <c r="CI5" s="39" t="inlineStr">
        <is>
          <t>Completed</t>
        </is>
      </c>
      <c r="CJ5" s="38" t="n">
        <v>46125</v>
      </c>
      <c r="CK5" s="37" t="n">
        <v>82</v>
      </c>
      <c r="CL5" s="39" t="inlineStr">
        <is>
          <t>Completed</t>
        </is>
      </c>
      <c r="CM5" s="38" t="n">
        <v>46126</v>
      </c>
      <c r="CN5" s="37" t="n">
        <v>80</v>
      </c>
      <c r="CO5" s="40" t="inlineStr">
        <is>
          <t>Exempt</t>
        </is>
      </c>
      <c r="CP5" s="38" t="inlineStr"/>
      <c r="CQ5" s="37" t="inlineStr"/>
      <c r="CR5">
        <f>IF(OR(F5="Completed",F5="In Progress",F5="Not Started",F5="Failed"),1,0)+IF(OR(I5="Completed",I5="In Progress",I5="Not Started",I5="Failed"),1,0)+IF(OR(L5="Completed",L5="In Progress",L5="Not Started",L5="Failed"),1,0)+IF(OR(O5="Completed",O5="In Progress",O5="Not Started",O5="Failed"),1,0)+IF(OR(R5="Completed",R5="In Progress",R5="Not Started",R5="Failed"),1,0)+IF(OR(U5="Completed",U5="In Progress",U5="Not Started",U5="Failed"),1,0)+IF(OR(X5="Completed",X5="In Progress",X5="Not Started",X5="Failed"),1,0)+IF(OR(AA5="Completed",AA5="In Progress",AA5="Not Started",AA5="Failed"),1,0)+IF(OR(AD5="Completed",AD5="In Progress",AD5="Not Started",AD5="Failed"),1,0)+IF(OR(AG5="Completed",AG5="In Progress",AG5="Not Started",AG5="Failed"),1,0)+IF(OR(AJ5="Completed",AJ5="In Progress",AJ5="Not Started",AJ5="Failed"),1,0)+IF(OR(AM5="Completed",AM5="In Progress",AM5="Not Started",AM5="Failed"),1,0)+IF(OR(AP5="Completed",AP5="In Progress",AP5="Not Started",AP5="Failed"),1,0)+IF(OR(AS5="Completed",AS5="In Progress",AS5="Not Started",AS5="Failed"),1,0)+IF(OR(AV5="Completed",AV5="In Progress",AV5="Not Started",AV5="Failed"),1,0)+IF(OR(AY5="Completed",AY5="In Progress",AY5="Not Started",AY5="Failed"),1,0)+IF(OR(BB5="Completed",BB5="In Progress",BB5="Not Started",BB5="Failed"),1,0)+IF(OR(BE5="Completed",BE5="In Progress",BE5="Not Started",BE5="Failed"),1,0)+IF(OR(BH5="Completed",BH5="In Progress",BH5="Not Started",BH5="Failed"),1,0)+IF(OR(BK5="Completed",BK5="In Progress",BK5="Not Started",BK5="Failed"),1,0)+IF(OR(BN5="Completed",BN5="In Progress",BN5="Not Started",BN5="Failed"),1,0)+IF(OR(BQ5="Completed",BQ5="In Progress",BQ5="Not Started",BQ5="Failed"),1,0)+IF(OR(BT5="Completed",BT5="In Progress",BT5="Not Started",BT5="Failed"),1,0)+IF(OR(BW5="Completed",BW5="In Progress",BW5="Not Started",BW5="Failed"),1,0)+IF(OR(BZ5="Completed",BZ5="In Progress",BZ5="Not Started",BZ5="Failed"),1,0)+IF(OR(CC5="Completed",CC5="In Progress",CC5="Not Started",CC5="Failed"),1,0)+IF(OR(CF5="Completed",CF5="In Progress",CF5="Not Started",CF5="Failed"),1,0)+IF(OR(CI5="Completed",CI5="In Progress",CI5="Not Started",CI5="Failed"),1,0)+IF(OR(CL5="Completed",CL5="In Progress",CL5="Not Started",CL5="Failed"),1,0)+IF(OR(CO5="Completed",CO5="In Progress",CO5="Not Started",CO5="Failed"),1,0)</f>
        <v/>
      </c>
      <c r="CS5">
        <f>IF(F5="Completed",1,0)+IF(I5="Completed",1,0)+IF(L5="Completed",1,0)+IF(O5="Completed",1,0)+IF(R5="Completed",1,0)+IF(U5="Completed",1,0)+IF(X5="Completed",1,0)+IF(AA5="Completed",1,0)+IF(AD5="Completed",1,0)+IF(AG5="Completed",1,0)+IF(AJ5="Completed",1,0)+IF(AM5="Completed",1,0)+IF(AP5="Completed",1,0)+IF(AS5="Completed",1,0)+IF(AV5="Completed",1,0)+IF(AY5="Completed",1,0)+IF(BB5="Completed",1,0)+IF(BE5="Completed",1,0)+IF(BH5="Completed",1,0)+IF(BK5="Completed",1,0)+IF(BN5="Completed",1,0)+IF(BQ5="Completed",1,0)+IF(BT5="Completed",1,0)+IF(BW5="Completed",1,0)+IF(BZ5="Completed",1,0)+IF(CC5="Completed",1,0)+IF(CF5="Completed",1,0)+IF(CI5="Completed",1,0)+IF(CL5="Completed",1,0)+IF(CO5="Completed",1,0)</f>
        <v/>
      </c>
      <c r="CT5" s="41">
        <f>IF(CR5=0,0,CS5/CR5)</f>
        <v/>
      </c>
      <c r="CU5" s="42">
        <f>IF((IF(H5&lt;&gt;"",1,0)+IF(K5&lt;&gt;"",1,0)+IF(N5&lt;&gt;"",1,0)+IF(Q5&lt;&gt;"",1,0)+IF(T5&lt;&gt;"",1,0)+IF(W5&lt;&gt;"",1,0)+IF(Z5&lt;&gt;"",1,0)+IF(AC5&lt;&gt;"",1,0)+IF(AF5&lt;&gt;"",1,0)+IF(AI5&lt;&gt;"",1,0)+IF(AL5&lt;&gt;"",1,0)+IF(AO5&lt;&gt;"",1,0)+IF(AR5&lt;&gt;"",1,0)+IF(AU5&lt;&gt;"",1,0)+IF(AX5&lt;&gt;"",1,0)+IF(BA5&lt;&gt;"",1,0)+IF(BD5&lt;&gt;"",1,0)+IF(BG5&lt;&gt;"",1,0)+IF(BJ5&lt;&gt;"",1,0)+IF(BM5&lt;&gt;"",1,0)+IF(BP5&lt;&gt;"",1,0)+IF(BS5&lt;&gt;"",1,0)+IF(BV5&lt;&gt;"",1,0)+IF(BY5&lt;&gt;"",1,0)+IF(CB5&lt;&gt;"",1,0)+IF(CE5&lt;&gt;"",1,0)+IF(CH5&lt;&gt;"",1,0)+IF(CK5&lt;&gt;"",1,0)+IF(CN5&lt;&gt;"",1,0)+IF(CQ5&lt;&gt;"",1,0))=0,0,(IF(H5&lt;&gt;"",H5,0)+IF(K5&lt;&gt;"",K5,0)+IF(N5&lt;&gt;"",N5,0)+IF(Q5&lt;&gt;"",Q5,0)+IF(T5&lt;&gt;"",T5,0)+IF(W5&lt;&gt;"",W5,0)+IF(Z5&lt;&gt;"",Z5,0)+IF(AC5&lt;&gt;"",AC5,0)+IF(AF5&lt;&gt;"",AF5,0)+IF(AI5&lt;&gt;"",AI5,0)+IF(AL5&lt;&gt;"",AL5,0)+IF(AO5&lt;&gt;"",AO5,0)+IF(AR5&lt;&gt;"",AR5,0)+IF(AU5&lt;&gt;"",AU5,0)+IF(AX5&lt;&gt;"",AX5,0)+IF(BA5&lt;&gt;"",BA5,0)+IF(BD5&lt;&gt;"",BD5,0)+IF(BG5&lt;&gt;"",BG5,0)+IF(BJ5&lt;&gt;"",BJ5,0)+IF(BM5&lt;&gt;"",BM5,0)+IF(BP5&lt;&gt;"",BP5,0)+IF(BS5&lt;&gt;"",BS5,0)+IF(BV5&lt;&gt;"",BV5,0)+IF(BY5&lt;&gt;"",BY5,0)+IF(CB5&lt;&gt;"",CB5,0)+IF(CE5&lt;&gt;"",CE5,0)+IF(CH5&lt;&gt;"",CH5,0)+IF(CK5&lt;&gt;"",CK5,0)+IF(CN5&lt;&gt;"",CN5,0)+IF(CQ5&lt;&gt;"",CQ5,0))/(IF(H5&lt;&gt;"",1,0)+IF(K5&lt;&gt;"",1,0)+IF(N5&lt;&gt;"",1,0)+IF(Q5&lt;&gt;"",1,0)+IF(T5&lt;&gt;"",1,0)+IF(W5&lt;&gt;"",1,0)+IF(Z5&lt;&gt;"",1,0)+IF(AC5&lt;&gt;"",1,0)+IF(AF5&lt;&gt;"",1,0)+IF(AI5&lt;&gt;"",1,0)+IF(AL5&lt;&gt;"",1,0)+IF(AO5&lt;&gt;"",1,0)+IF(AR5&lt;&gt;"",1,0)+IF(AU5&lt;&gt;"",1,0)+IF(AX5&lt;&gt;"",1,0)+IF(BA5&lt;&gt;"",1,0)+IF(BD5&lt;&gt;"",1,0)+IF(BG5&lt;&gt;"",1,0)+IF(BJ5&lt;&gt;"",1,0)+IF(BM5&lt;&gt;"",1,0)+IF(BP5&lt;&gt;"",1,0)+IF(BS5&lt;&gt;"",1,0)+IF(BV5&lt;&gt;"",1,0)+IF(BY5&lt;&gt;"",1,0)+IF(CB5&lt;&gt;"",1,0)+IF(CE5&lt;&gt;"",1,0)+IF(CH5&lt;&gt;"",1,0)+IF(CK5&lt;&gt;"",1,0)+IF(CN5&lt;&gt;"",1,0)+IF(CQ5&lt;&gt;"",1,0)))</f>
        <v/>
      </c>
      <c r="CV5">
        <f>IF(CT5&gt;=0.7,"Yes","No")</f>
        <v/>
      </c>
    </row>
    <row r="6">
      <c r="A6" s="37" t="inlineStr">
        <is>
          <t>EMP-005</t>
        </is>
      </c>
      <c r="B6" t="inlineStr">
        <is>
          <t>Robert T. Kim</t>
        </is>
      </c>
      <c r="C6" t="inlineStr">
        <is>
          <t>Agent</t>
        </is>
      </c>
      <c r="D6" s="38" t="n">
        <v>46090</v>
      </c>
      <c r="E6" t="inlineStr">
        <is>
          <t>Final</t>
        </is>
      </c>
      <c r="F6" s="39" t="inlineStr">
        <is>
          <t>Completed</t>
        </is>
      </c>
      <c r="G6" s="38" t="n">
        <v>46093</v>
      </c>
      <c r="H6" s="37" t="n">
        <v>90</v>
      </c>
      <c r="I6" s="39" t="inlineStr">
        <is>
          <t>Completed</t>
        </is>
      </c>
      <c r="J6" s="38" t="n">
        <v>46093</v>
      </c>
      <c r="K6" s="37" t="n">
        <v>86</v>
      </c>
      <c r="L6" s="39" t="inlineStr">
        <is>
          <t>Completed</t>
        </is>
      </c>
      <c r="M6" s="38" t="n">
        <v>46092</v>
      </c>
      <c r="N6" s="37" t="n">
        <v>88</v>
      </c>
      <c r="O6" s="39" t="inlineStr">
        <is>
          <t>Completed</t>
        </is>
      </c>
      <c r="P6" s="38" t="n">
        <v>46098</v>
      </c>
      <c r="Q6" s="37" t="n">
        <v>80</v>
      </c>
      <c r="R6" s="39" t="inlineStr">
        <is>
          <t>Completed</t>
        </is>
      </c>
      <c r="S6" s="38" t="n">
        <v>46099</v>
      </c>
      <c r="T6" s="37" t="n">
        <v>82</v>
      </c>
      <c r="U6" s="39" t="inlineStr">
        <is>
          <t>Completed</t>
        </is>
      </c>
      <c r="V6" s="38" t="n">
        <v>46092</v>
      </c>
      <c r="W6" s="37" t="n">
        <v>86</v>
      </c>
      <c r="X6" s="39" t="inlineStr">
        <is>
          <t>Completed</t>
        </is>
      </c>
      <c r="Y6" s="38" t="n">
        <v>46091</v>
      </c>
      <c r="Z6" s="37" t="n">
        <v>100</v>
      </c>
      <c r="AA6" s="39" t="inlineStr">
        <is>
          <t>Completed</t>
        </is>
      </c>
      <c r="AB6" s="38" t="n">
        <v>46106</v>
      </c>
      <c r="AC6" s="37" t="n">
        <v>80</v>
      </c>
      <c r="AD6" s="39" t="inlineStr">
        <is>
          <t>Completed</t>
        </is>
      </c>
      <c r="AE6" s="38" t="n">
        <v>46098</v>
      </c>
      <c r="AF6" s="37" t="inlineStr"/>
      <c r="AG6" s="39" t="inlineStr">
        <is>
          <t>Completed</t>
        </is>
      </c>
      <c r="AH6" s="38" t="n">
        <v>46099</v>
      </c>
      <c r="AI6" s="37" t="n">
        <v>82</v>
      </c>
      <c r="AJ6" s="40" t="inlineStr">
        <is>
          <t>Exempt</t>
        </is>
      </c>
      <c r="AK6" s="38" t="inlineStr"/>
      <c r="AL6" s="37" t="inlineStr"/>
      <c r="AM6" s="39" t="inlineStr">
        <is>
          <t>Completed</t>
        </is>
      </c>
      <c r="AN6" s="38" t="n">
        <v>46091</v>
      </c>
      <c r="AO6" s="37" t="n">
        <v>100</v>
      </c>
      <c r="AP6" s="39" t="inlineStr">
        <is>
          <t>Completed</t>
        </is>
      </c>
      <c r="AQ6" s="38" t="n">
        <v>46104</v>
      </c>
      <c r="AR6" s="37" t="n">
        <v>82</v>
      </c>
      <c r="AS6" s="39" t="inlineStr">
        <is>
          <t>Completed</t>
        </is>
      </c>
      <c r="AT6" s="38" t="n">
        <v>46105</v>
      </c>
      <c r="AU6" s="37" t="n">
        <v>80</v>
      </c>
      <c r="AV6" s="39" t="inlineStr">
        <is>
          <t>Completed</t>
        </is>
      </c>
      <c r="AW6" s="38" t="n">
        <v>46097</v>
      </c>
      <c r="AX6" s="37" t="inlineStr"/>
      <c r="AY6" s="39" t="inlineStr">
        <is>
          <t>Completed</t>
        </is>
      </c>
      <c r="AZ6" s="38" t="n">
        <v>46106</v>
      </c>
      <c r="BA6" s="37" t="n">
        <v>85</v>
      </c>
      <c r="BB6" s="43" t="inlineStr">
        <is>
          <t>In Progress</t>
        </is>
      </c>
      <c r="BC6" s="38" t="inlineStr"/>
      <c r="BD6" s="37" t="inlineStr"/>
      <c r="BE6" s="39" t="inlineStr">
        <is>
          <t>Completed</t>
        </is>
      </c>
      <c r="BF6" s="38" t="n">
        <v>46091</v>
      </c>
      <c r="BG6" s="37" t="inlineStr"/>
      <c r="BH6" s="39" t="inlineStr">
        <is>
          <t>Completed</t>
        </is>
      </c>
      <c r="BI6" s="38" t="n">
        <v>46108</v>
      </c>
      <c r="BJ6" s="37" t="n">
        <v>80</v>
      </c>
      <c r="BK6" s="43" t="inlineStr">
        <is>
          <t>In Progress</t>
        </is>
      </c>
      <c r="BL6" s="38" t="inlineStr"/>
      <c r="BM6" s="37" t="inlineStr"/>
      <c r="BN6" s="43" t="inlineStr">
        <is>
          <t>In Progress</t>
        </is>
      </c>
      <c r="BO6" s="38" t="inlineStr"/>
      <c r="BP6" s="37" t="inlineStr"/>
      <c r="BQ6" s="39" t="inlineStr">
        <is>
          <t>Completed</t>
        </is>
      </c>
      <c r="BR6" s="38" t="n">
        <v>46097</v>
      </c>
      <c r="BS6" s="37" t="n">
        <v>80</v>
      </c>
      <c r="BT6" s="43" t="inlineStr">
        <is>
          <t>In Progress</t>
        </is>
      </c>
      <c r="BU6" s="38" t="inlineStr"/>
      <c r="BV6" s="37" t="inlineStr"/>
      <c r="BW6" s="40" t="inlineStr">
        <is>
          <t>Exempt</t>
        </is>
      </c>
      <c r="BX6" s="38" t="inlineStr"/>
      <c r="BY6" s="37" t="inlineStr"/>
      <c r="BZ6" s="44" t="inlineStr">
        <is>
          <t>Not Started</t>
        </is>
      </c>
      <c r="CA6" s="38" t="inlineStr"/>
      <c r="CB6" s="37" t="inlineStr"/>
      <c r="CC6" s="40" t="inlineStr">
        <is>
          <t>Exempt</t>
        </is>
      </c>
      <c r="CD6" s="38" t="inlineStr"/>
      <c r="CE6" s="37" t="inlineStr"/>
      <c r="CF6" s="40" t="inlineStr">
        <is>
          <t>Exempt</t>
        </is>
      </c>
      <c r="CG6" s="38" t="inlineStr"/>
      <c r="CH6" s="37" t="inlineStr"/>
      <c r="CI6" s="40" t="inlineStr">
        <is>
          <t>Exempt</t>
        </is>
      </c>
      <c r="CJ6" s="38" t="inlineStr"/>
      <c r="CK6" s="37" t="inlineStr"/>
      <c r="CL6" s="40" t="inlineStr">
        <is>
          <t>Exempt</t>
        </is>
      </c>
      <c r="CM6" s="38" t="inlineStr"/>
      <c r="CN6" s="37" t="inlineStr"/>
      <c r="CO6" s="40" t="inlineStr">
        <is>
          <t>Exempt</t>
        </is>
      </c>
      <c r="CP6" s="38" t="inlineStr"/>
      <c r="CQ6" s="37" t="inlineStr"/>
      <c r="CR6">
        <f>IF(OR(F6="Completed",F6="In Progress",F6="Not Started",F6="Failed"),1,0)+IF(OR(I6="Completed",I6="In Progress",I6="Not Started",I6="Failed"),1,0)+IF(OR(L6="Completed",L6="In Progress",L6="Not Started",L6="Failed"),1,0)+IF(OR(O6="Completed",O6="In Progress",O6="Not Started",O6="Failed"),1,0)+IF(OR(R6="Completed",R6="In Progress",R6="Not Started",R6="Failed"),1,0)+IF(OR(U6="Completed",U6="In Progress",U6="Not Started",U6="Failed"),1,0)+IF(OR(X6="Completed",X6="In Progress",X6="Not Started",X6="Failed"),1,0)+IF(OR(AA6="Completed",AA6="In Progress",AA6="Not Started",AA6="Failed"),1,0)+IF(OR(AD6="Completed",AD6="In Progress",AD6="Not Started",AD6="Failed"),1,0)+IF(OR(AG6="Completed",AG6="In Progress",AG6="Not Started",AG6="Failed"),1,0)+IF(OR(AJ6="Completed",AJ6="In Progress",AJ6="Not Started",AJ6="Failed"),1,0)+IF(OR(AM6="Completed",AM6="In Progress",AM6="Not Started",AM6="Failed"),1,0)+IF(OR(AP6="Completed",AP6="In Progress",AP6="Not Started",AP6="Failed"),1,0)+IF(OR(AS6="Completed",AS6="In Progress",AS6="Not Started",AS6="Failed"),1,0)+IF(OR(AV6="Completed",AV6="In Progress",AV6="Not Started",AV6="Failed"),1,0)+IF(OR(AY6="Completed",AY6="In Progress",AY6="Not Started",AY6="Failed"),1,0)+IF(OR(BB6="Completed",BB6="In Progress",BB6="Not Started",BB6="Failed"),1,0)+IF(OR(BE6="Completed",BE6="In Progress",BE6="Not Started",BE6="Failed"),1,0)+IF(OR(BH6="Completed",BH6="In Progress",BH6="Not Started",BH6="Failed"),1,0)+IF(OR(BK6="Completed",BK6="In Progress",BK6="Not Started",BK6="Failed"),1,0)+IF(OR(BN6="Completed",BN6="In Progress",BN6="Not Started",BN6="Failed"),1,0)+IF(OR(BQ6="Completed",BQ6="In Progress",BQ6="Not Started",BQ6="Failed"),1,0)+IF(OR(BT6="Completed",BT6="In Progress",BT6="Not Started",BT6="Failed"),1,0)+IF(OR(BW6="Completed",BW6="In Progress",BW6="Not Started",BW6="Failed"),1,0)+IF(OR(BZ6="Completed",BZ6="In Progress",BZ6="Not Started",BZ6="Failed"),1,0)+IF(OR(CC6="Completed",CC6="In Progress",CC6="Not Started",CC6="Failed"),1,0)+IF(OR(CF6="Completed",CF6="In Progress",CF6="Not Started",CF6="Failed"),1,0)+IF(OR(CI6="Completed",CI6="In Progress",CI6="Not Started",CI6="Failed"),1,0)+IF(OR(CL6="Completed",CL6="In Progress",CL6="Not Started",CL6="Failed"),1,0)+IF(OR(CO6="Completed",CO6="In Progress",CO6="Not Started",CO6="Failed"),1,0)</f>
        <v/>
      </c>
      <c r="CS6">
        <f>IF(F6="Completed",1,0)+IF(I6="Completed",1,0)+IF(L6="Completed",1,0)+IF(O6="Completed",1,0)+IF(R6="Completed",1,0)+IF(U6="Completed",1,0)+IF(X6="Completed",1,0)+IF(AA6="Completed",1,0)+IF(AD6="Completed",1,0)+IF(AG6="Completed",1,0)+IF(AJ6="Completed",1,0)+IF(AM6="Completed",1,0)+IF(AP6="Completed",1,0)+IF(AS6="Completed",1,0)+IF(AV6="Completed",1,0)+IF(AY6="Completed",1,0)+IF(BB6="Completed",1,0)+IF(BE6="Completed",1,0)+IF(BH6="Completed",1,0)+IF(BK6="Completed",1,0)+IF(BN6="Completed",1,0)+IF(BQ6="Completed",1,0)+IF(BT6="Completed",1,0)+IF(BW6="Completed",1,0)+IF(BZ6="Completed",1,0)+IF(CC6="Completed",1,0)+IF(CF6="Completed",1,0)+IF(CI6="Completed",1,0)+IF(CL6="Completed",1,0)+IF(CO6="Completed",1,0)</f>
        <v/>
      </c>
      <c r="CT6" s="41">
        <f>IF(CR6=0,0,CS6/CR6)</f>
        <v/>
      </c>
      <c r="CU6" s="42">
        <f>IF((IF(H6&lt;&gt;"",1,0)+IF(K6&lt;&gt;"",1,0)+IF(N6&lt;&gt;"",1,0)+IF(Q6&lt;&gt;"",1,0)+IF(T6&lt;&gt;"",1,0)+IF(W6&lt;&gt;"",1,0)+IF(Z6&lt;&gt;"",1,0)+IF(AC6&lt;&gt;"",1,0)+IF(AF6&lt;&gt;"",1,0)+IF(AI6&lt;&gt;"",1,0)+IF(AL6&lt;&gt;"",1,0)+IF(AO6&lt;&gt;"",1,0)+IF(AR6&lt;&gt;"",1,0)+IF(AU6&lt;&gt;"",1,0)+IF(AX6&lt;&gt;"",1,0)+IF(BA6&lt;&gt;"",1,0)+IF(BD6&lt;&gt;"",1,0)+IF(BG6&lt;&gt;"",1,0)+IF(BJ6&lt;&gt;"",1,0)+IF(BM6&lt;&gt;"",1,0)+IF(BP6&lt;&gt;"",1,0)+IF(BS6&lt;&gt;"",1,0)+IF(BV6&lt;&gt;"",1,0)+IF(BY6&lt;&gt;"",1,0)+IF(CB6&lt;&gt;"",1,0)+IF(CE6&lt;&gt;"",1,0)+IF(CH6&lt;&gt;"",1,0)+IF(CK6&lt;&gt;"",1,0)+IF(CN6&lt;&gt;"",1,0)+IF(CQ6&lt;&gt;"",1,0))=0,0,(IF(H6&lt;&gt;"",H6,0)+IF(K6&lt;&gt;"",K6,0)+IF(N6&lt;&gt;"",N6,0)+IF(Q6&lt;&gt;"",Q6,0)+IF(T6&lt;&gt;"",T6,0)+IF(W6&lt;&gt;"",W6,0)+IF(Z6&lt;&gt;"",Z6,0)+IF(AC6&lt;&gt;"",AC6,0)+IF(AF6&lt;&gt;"",AF6,0)+IF(AI6&lt;&gt;"",AI6,0)+IF(AL6&lt;&gt;"",AL6,0)+IF(AO6&lt;&gt;"",AO6,0)+IF(AR6&lt;&gt;"",AR6,0)+IF(AU6&lt;&gt;"",AU6,0)+IF(AX6&lt;&gt;"",AX6,0)+IF(BA6&lt;&gt;"",BA6,0)+IF(BD6&lt;&gt;"",BD6,0)+IF(BG6&lt;&gt;"",BG6,0)+IF(BJ6&lt;&gt;"",BJ6,0)+IF(BM6&lt;&gt;"",BM6,0)+IF(BP6&lt;&gt;"",BP6,0)+IF(BS6&lt;&gt;"",BS6,0)+IF(BV6&lt;&gt;"",BV6,0)+IF(BY6&lt;&gt;"",BY6,0)+IF(CB6&lt;&gt;"",CB6,0)+IF(CE6&lt;&gt;"",CE6,0)+IF(CH6&lt;&gt;"",CH6,0)+IF(CK6&lt;&gt;"",CK6,0)+IF(CN6&lt;&gt;"",CN6,0)+IF(CQ6&lt;&gt;"",CQ6,0))/(IF(H6&lt;&gt;"",1,0)+IF(K6&lt;&gt;"",1,0)+IF(N6&lt;&gt;"",1,0)+IF(Q6&lt;&gt;"",1,0)+IF(T6&lt;&gt;"",1,0)+IF(W6&lt;&gt;"",1,0)+IF(Z6&lt;&gt;"",1,0)+IF(AC6&lt;&gt;"",1,0)+IF(AF6&lt;&gt;"",1,0)+IF(AI6&lt;&gt;"",1,0)+IF(AL6&lt;&gt;"",1,0)+IF(AO6&lt;&gt;"",1,0)+IF(AR6&lt;&gt;"",1,0)+IF(AU6&lt;&gt;"",1,0)+IF(AX6&lt;&gt;"",1,0)+IF(BA6&lt;&gt;"",1,0)+IF(BD6&lt;&gt;"",1,0)+IF(BG6&lt;&gt;"",1,0)+IF(BJ6&lt;&gt;"",1,0)+IF(BM6&lt;&gt;"",1,0)+IF(BP6&lt;&gt;"",1,0)+IF(BS6&lt;&gt;"",1,0)+IF(BV6&lt;&gt;"",1,0)+IF(BY6&lt;&gt;"",1,0)+IF(CB6&lt;&gt;"",1,0)+IF(CE6&lt;&gt;"",1,0)+IF(CH6&lt;&gt;"",1,0)+IF(CK6&lt;&gt;"",1,0)+IF(CN6&lt;&gt;"",1,0)+IF(CQ6&lt;&gt;"",1,0)))</f>
        <v/>
      </c>
      <c r="CV6">
        <f>IF(CT6&gt;=0.7,"Yes","No")</f>
        <v/>
      </c>
    </row>
    <row r="7">
      <c r="A7" s="37" t="inlineStr">
        <is>
          <t>EMP-006</t>
        </is>
      </c>
      <c r="B7" t="inlineStr">
        <is>
          <t>Amanda K. Brooks</t>
        </is>
      </c>
      <c r="C7" t="inlineStr">
        <is>
          <t>QA Analyst</t>
        </is>
      </c>
      <c r="D7" s="38" t="n">
        <v>46090</v>
      </c>
      <c r="E7" t="inlineStr">
        <is>
          <t>Final</t>
        </is>
      </c>
      <c r="F7" s="39" t="inlineStr">
        <is>
          <t>Completed</t>
        </is>
      </c>
      <c r="G7" s="38" t="n">
        <v>46093</v>
      </c>
      <c r="H7" s="37" t="n">
        <v>94</v>
      </c>
      <c r="I7" s="39" t="inlineStr">
        <is>
          <t>Completed</t>
        </is>
      </c>
      <c r="J7" s="38" t="n">
        <v>46093</v>
      </c>
      <c r="K7" s="37" t="n">
        <v>90</v>
      </c>
      <c r="L7" s="39" t="inlineStr">
        <is>
          <t>Completed</t>
        </is>
      </c>
      <c r="M7" s="38" t="n">
        <v>46092</v>
      </c>
      <c r="N7" s="37" t="n">
        <v>92</v>
      </c>
      <c r="O7" s="39" t="inlineStr">
        <is>
          <t>Completed</t>
        </is>
      </c>
      <c r="P7" s="38" t="n">
        <v>46097</v>
      </c>
      <c r="Q7" s="37" t="n">
        <v>84</v>
      </c>
      <c r="R7" s="39" t="inlineStr">
        <is>
          <t>Completed</t>
        </is>
      </c>
      <c r="S7" s="38" t="n">
        <v>46098</v>
      </c>
      <c r="T7" s="37" t="n">
        <v>88</v>
      </c>
      <c r="U7" s="39" t="inlineStr">
        <is>
          <t>Completed</t>
        </is>
      </c>
      <c r="V7" s="38" t="n">
        <v>46092</v>
      </c>
      <c r="W7" s="37" t="n">
        <v>88</v>
      </c>
      <c r="X7" s="39" t="inlineStr">
        <is>
          <t>Completed</t>
        </is>
      </c>
      <c r="Y7" s="38" t="n">
        <v>46091</v>
      </c>
      <c r="Z7" s="37" t="n">
        <v>100</v>
      </c>
      <c r="AA7" s="40" t="inlineStr">
        <is>
          <t>Exempt</t>
        </is>
      </c>
      <c r="AB7" s="38" t="inlineStr"/>
      <c r="AC7" s="37" t="inlineStr"/>
      <c r="AD7" s="39" t="inlineStr">
        <is>
          <t>Completed</t>
        </is>
      </c>
      <c r="AE7" s="38" t="n">
        <v>46097</v>
      </c>
      <c r="AF7" s="37" t="inlineStr"/>
      <c r="AG7" s="39" t="inlineStr">
        <is>
          <t>Completed</t>
        </is>
      </c>
      <c r="AH7" s="38" t="n">
        <v>46098</v>
      </c>
      <c r="AI7" s="37" t="n">
        <v>84</v>
      </c>
      <c r="AJ7" s="40" t="inlineStr">
        <is>
          <t>Exempt</t>
        </is>
      </c>
      <c r="AK7" s="38" t="inlineStr"/>
      <c r="AL7" s="37" t="inlineStr"/>
      <c r="AM7" s="39" t="inlineStr">
        <is>
          <t>Completed</t>
        </is>
      </c>
      <c r="AN7" s="38" t="n">
        <v>46091</v>
      </c>
      <c r="AO7" s="37" t="n">
        <v>100</v>
      </c>
      <c r="AP7" s="39" t="inlineStr">
        <is>
          <t>Completed</t>
        </is>
      </c>
      <c r="AQ7" s="38" t="n">
        <v>46104</v>
      </c>
      <c r="AR7" s="37" t="n">
        <v>86</v>
      </c>
      <c r="AS7" s="39" t="inlineStr">
        <is>
          <t>Completed</t>
        </is>
      </c>
      <c r="AT7" s="38" t="n">
        <v>46105</v>
      </c>
      <c r="AU7" s="37" t="n">
        <v>84</v>
      </c>
      <c r="AV7" s="39" t="inlineStr">
        <is>
          <t>Completed</t>
        </is>
      </c>
      <c r="AW7" s="38" t="n">
        <v>46096</v>
      </c>
      <c r="AX7" s="37" t="inlineStr"/>
      <c r="AY7" s="39" t="inlineStr">
        <is>
          <t>Completed</t>
        </is>
      </c>
      <c r="AZ7" s="38" t="n">
        <v>46106</v>
      </c>
      <c r="BA7" s="37" t="n">
        <v>88</v>
      </c>
      <c r="BB7" s="39" t="inlineStr">
        <is>
          <t>Completed</t>
        </is>
      </c>
      <c r="BC7" s="38" t="n">
        <v>46107</v>
      </c>
      <c r="BD7" s="37" t="n">
        <v>82</v>
      </c>
      <c r="BE7" s="39" t="inlineStr">
        <is>
          <t>Completed</t>
        </is>
      </c>
      <c r="BF7" s="38" t="n">
        <v>46091</v>
      </c>
      <c r="BG7" s="37" t="inlineStr"/>
      <c r="BH7" s="40" t="inlineStr">
        <is>
          <t>Exempt</t>
        </is>
      </c>
      <c r="BI7" s="38" t="inlineStr"/>
      <c r="BJ7" s="37" t="inlineStr"/>
      <c r="BK7" s="40" t="inlineStr">
        <is>
          <t>Exempt</t>
        </is>
      </c>
      <c r="BL7" s="38" t="inlineStr"/>
      <c r="BM7" s="37" t="inlineStr"/>
      <c r="BN7" s="40" t="inlineStr">
        <is>
          <t>Exempt</t>
        </is>
      </c>
      <c r="BO7" s="38" t="inlineStr"/>
      <c r="BP7" s="37" t="inlineStr"/>
      <c r="BQ7" s="39" t="inlineStr">
        <is>
          <t>Completed</t>
        </is>
      </c>
      <c r="BR7" s="38" t="n">
        <v>46097</v>
      </c>
      <c r="BS7" s="37" t="n">
        <v>82</v>
      </c>
      <c r="BT7" s="39" t="inlineStr">
        <is>
          <t>Completed</t>
        </is>
      </c>
      <c r="BU7" s="38" t="n">
        <v>46107</v>
      </c>
      <c r="BV7" s="37" t="n">
        <v>88</v>
      </c>
      <c r="BW7" s="39" t="inlineStr">
        <is>
          <t>Completed</t>
        </is>
      </c>
      <c r="BX7" s="38" t="n">
        <v>46120</v>
      </c>
      <c r="BY7" s="37" t="n">
        <v>90</v>
      </c>
      <c r="BZ7" s="43" t="inlineStr">
        <is>
          <t>In Progress</t>
        </is>
      </c>
      <c r="CA7" s="38" t="inlineStr"/>
      <c r="CB7" s="37" t="inlineStr"/>
      <c r="CC7" s="40" t="inlineStr">
        <is>
          <t>Exempt</t>
        </is>
      </c>
      <c r="CD7" s="38" t="inlineStr"/>
      <c r="CE7" s="37" t="inlineStr"/>
      <c r="CF7" s="40" t="inlineStr">
        <is>
          <t>Exempt</t>
        </is>
      </c>
      <c r="CG7" s="38" t="inlineStr"/>
      <c r="CH7" s="37" t="inlineStr"/>
      <c r="CI7" s="40" t="inlineStr">
        <is>
          <t>Exempt</t>
        </is>
      </c>
      <c r="CJ7" s="38" t="inlineStr"/>
      <c r="CK7" s="37" t="inlineStr"/>
      <c r="CL7" s="40" t="inlineStr">
        <is>
          <t>Exempt</t>
        </is>
      </c>
      <c r="CM7" s="38" t="inlineStr"/>
      <c r="CN7" s="37" t="inlineStr"/>
      <c r="CO7" s="40" t="inlineStr">
        <is>
          <t>Exempt</t>
        </is>
      </c>
      <c r="CP7" s="38" t="inlineStr"/>
      <c r="CQ7" s="37" t="inlineStr"/>
      <c r="CR7">
        <f>IF(OR(F7="Completed",F7="In Progress",F7="Not Started",F7="Failed"),1,0)+IF(OR(I7="Completed",I7="In Progress",I7="Not Started",I7="Failed"),1,0)+IF(OR(L7="Completed",L7="In Progress",L7="Not Started",L7="Failed"),1,0)+IF(OR(O7="Completed",O7="In Progress",O7="Not Started",O7="Failed"),1,0)+IF(OR(R7="Completed",R7="In Progress",R7="Not Started",R7="Failed"),1,0)+IF(OR(U7="Completed",U7="In Progress",U7="Not Started",U7="Failed"),1,0)+IF(OR(X7="Completed",X7="In Progress",X7="Not Started",X7="Failed"),1,0)+IF(OR(AA7="Completed",AA7="In Progress",AA7="Not Started",AA7="Failed"),1,0)+IF(OR(AD7="Completed",AD7="In Progress",AD7="Not Started",AD7="Failed"),1,0)+IF(OR(AG7="Completed",AG7="In Progress",AG7="Not Started",AG7="Failed"),1,0)+IF(OR(AJ7="Completed",AJ7="In Progress",AJ7="Not Started",AJ7="Failed"),1,0)+IF(OR(AM7="Completed",AM7="In Progress",AM7="Not Started",AM7="Failed"),1,0)+IF(OR(AP7="Completed",AP7="In Progress",AP7="Not Started",AP7="Failed"),1,0)+IF(OR(AS7="Completed",AS7="In Progress",AS7="Not Started",AS7="Failed"),1,0)+IF(OR(AV7="Completed",AV7="In Progress",AV7="Not Started",AV7="Failed"),1,0)+IF(OR(AY7="Completed",AY7="In Progress",AY7="Not Started",AY7="Failed"),1,0)+IF(OR(BB7="Completed",BB7="In Progress",BB7="Not Started",BB7="Failed"),1,0)+IF(OR(BE7="Completed",BE7="In Progress",BE7="Not Started",BE7="Failed"),1,0)+IF(OR(BH7="Completed",BH7="In Progress",BH7="Not Started",BH7="Failed"),1,0)+IF(OR(BK7="Completed",BK7="In Progress",BK7="Not Started",BK7="Failed"),1,0)+IF(OR(BN7="Completed",BN7="In Progress",BN7="Not Started",BN7="Failed"),1,0)+IF(OR(BQ7="Completed",BQ7="In Progress",BQ7="Not Started",BQ7="Failed"),1,0)+IF(OR(BT7="Completed",BT7="In Progress",BT7="Not Started",BT7="Failed"),1,0)+IF(OR(BW7="Completed",BW7="In Progress",BW7="Not Started",BW7="Failed"),1,0)+IF(OR(BZ7="Completed",BZ7="In Progress",BZ7="Not Started",BZ7="Failed"),1,0)+IF(OR(CC7="Completed",CC7="In Progress",CC7="Not Started",CC7="Failed"),1,0)+IF(OR(CF7="Completed",CF7="In Progress",CF7="Not Started",CF7="Failed"),1,0)+IF(OR(CI7="Completed",CI7="In Progress",CI7="Not Started",CI7="Failed"),1,0)+IF(OR(CL7="Completed",CL7="In Progress",CL7="Not Started",CL7="Failed"),1,0)+IF(OR(CO7="Completed",CO7="In Progress",CO7="Not Started",CO7="Failed"),1,0)</f>
        <v/>
      </c>
      <c r="CS7">
        <f>IF(F7="Completed",1,0)+IF(I7="Completed",1,0)+IF(L7="Completed",1,0)+IF(O7="Completed",1,0)+IF(R7="Completed",1,0)+IF(U7="Completed",1,0)+IF(X7="Completed",1,0)+IF(AA7="Completed",1,0)+IF(AD7="Completed",1,0)+IF(AG7="Completed",1,0)+IF(AJ7="Completed",1,0)+IF(AM7="Completed",1,0)+IF(AP7="Completed",1,0)+IF(AS7="Completed",1,0)+IF(AV7="Completed",1,0)+IF(AY7="Completed",1,0)+IF(BB7="Completed",1,0)+IF(BE7="Completed",1,0)+IF(BH7="Completed",1,0)+IF(BK7="Completed",1,0)+IF(BN7="Completed",1,0)+IF(BQ7="Completed",1,0)+IF(BT7="Completed",1,0)+IF(BW7="Completed",1,0)+IF(BZ7="Completed",1,0)+IF(CC7="Completed",1,0)+IF(CF7="Completed",1,0)+IF(CI7="Completed",1,0)+IF(CL7="Completed",1,0)+IF(CO7="Completed",1,0)</f>
        <v/>
      </c>
      <c r="CT7" s="41">
        <f>IF(CR7=0,0,CS7/CR7)</f>
        <v/>
      </c>
      <c r="CU7" s="42">
        <f>IF((IF(H7&lt;&gt;"",1,0)+IF(K7&lt;&gt;"",1,0)+IF(N7&lt;&gt;"",1,0)+IF(Q7&lt;&gt;"",1,0)+IF(T7&lt;&gt;"",1,0)+IF(W7&lt;&gt;"",1,0)+IF(Z7&lt;&gt;"",1,0)+IF(AC7&lt;&gt;"",1,0)+IF(AF7&lt;&gt;"",1,0)+IF(AI7&lt;&gt;"",1,0)+IF(AL7&lt;&gt;"",1,0)+IF(AO7&lt;&gt;"",1,0)+IF(AR7&lt;&gt;"",1,0)+IF(AU7&lt;&gt;"",1,0)+IF(AX7&lt;&gt;"",1,0)+IF(BA7&lt;&gt;"",1,0)+IF(BD7&lt;&gt;"",1,0)+IF(BG7&lt;&gt;"",1,0)+IF(BJ7&lt;&gt;"",1,0)+IF(BM7&lt;&gt;"",1,0)+IF(BP7&lt;&gt;"",1,0)+IF(BS7&lt;&gt;"",1,0)+IF(BV7&lt;&gt;"",1,0)+IF(BY7&lt;&gt;"",1,0)+IF(CB7&lt;&gt;"",1,0)+IF(CE7&lt;&gt;"",1,0)+IF(CH7&lt;&gt;"",1,0)+IF(CK7&lt;&gt;"",1,0)+IF(CN7&lt;&gt;"",1,0)+IF(CQ7&lt;&gt;"",1,0))=0,0,(IF(H7&lt;&gt;"",H7,0)+IF(K7&lt;&gt;"",K7,0)+IF(N7&lt;&gt;"",N7,0)+IF(Q7&lt;&gt;"",Q7,0)+IF(T7&lt;&gt;"",T7,0)+IF(W7&lt;&gt;"",W7,0)+IF(Z7&lt;&gt;"",Z7,0)+IF(AC7&lt;&gt;"",AC7,0)+IF(AF7&lt;&gt;"",AF7,0)+IF(AI7&lt;&gt;"",AI7,0)+IF(AL7&lt;&gt;"",AL7,0)+IF(AO7&lt;&gt;"",AO7,0)+IF(AR7&lt;&gt;"",AR7,0)+IF(AU7&lt;&gt;"",AU7,0)+IF(AX7&lt;&gt;"",AX7,0)+IF(BA7&lt;&gt;"",BA7,0)+IF(BD7&lt;&gt;"",BD7,0)+IF(BG7&lt;&gt;"",BG7,0)+IF(BJ7&lt;&gt;"",BJ7,0)+IF(BM7&lt;&gt;"",BM7,0)+IF(BP7&lt;&gt;"",BP7,0)+IF(BS7&lt;&gt;"",BS7,0)+IF(BV7&lt;&gt;"",BV7,0)+IF(BY7&lt;&gt;"",BY7,0)+IF(CB7&lt;&gt;"",CB7,0)+IF(CE7&lt;&gt;"",CE7,0)+IF(CH7&lt;&gt;"",CH7,0)+IF(CK7&lt;&gt;"",CK7,0)+IF(CN7&lt;&gt;"",CN7,0)+IF(CQ7&lt;&gt;"",CQ7,0))/(IF(H7&lt;&gt;"",1,0)+IF(K7&lt;&gt;"",1,0)+IF(N7&lt;&gt;"",1,0)+IF(Q7&lt;&gt;"",1,0)+IF(T7&lt;&gt;"",1,0)+IF(W7&lt;&gt;"",1,0)+IF(Z7&lt;&gt;"",1,0)+IF(AC7&lt;&gt;"",1,0)+IF(AF7&lt;&gt;"",1,0)+IF(AI7&lt;&gt;"",1,0)+IF(AL7&lt;&gt;"",1,0)+IF(AO7&lt;&gt;"",1,0)+IF(AR7&lt;&gt;"",1,0)+IF(AU7&lt;&gt;"",1,0)+IF(AX7&lt;&gt;"",1,0)+IF(BA7&lt;&gt;"",1,0)+IF(BD7&lt;&gt;"",1,0)+IF(BG7&lt;&gt;"",1,0)+IF(BJ7&lt;&gt;"",1,0)+IF(BM7&lt;&gt;"",1,0)+IF(BP7&lt;&gt;"",1,0)+IF(BS7&lt;&gt;"",1,0)+IF(BV7&lt;&gt;"",1,0)+IF(BY7&lt;&gt;"",1,0)+IF(CB7&lt;&gt;"",1,0)+IF(CE7&lt;&gt;"",1,0)+IF(CH7&lt;&gt;"",1,0)+IF(CK7&lt;&gt;"",1,0)+IF(CN7&lt;&gt;"",1,0)+IF(CQ7&lt;&gt;"",1,0)))</f>
        <v/>
      </c>
      <c r="CV7">
        <f>IF(CT7&gt;=0.7,"Yes","No")</f>
        <v/>
      </c>
    </row>
    <row r="8">
      <c r="A8" s="37" t="inlineStr">
        <is>
          <t>EMP-007</t>
        </is>
      </c>
      <c r="B8" t="inlineStr">
        <is>
          <t>Michael D. Torres</t>
        </is>
      </c>
      <c r="C8" t="inlineStr">
        <is>
          <t>Supervisor</t>
        </is>
      </c>
      <c r="D8" s="38" t="n">
        <v>46090</v>
      </c>
      <c r="E8" t="inlineStr">
        <is>
          <t>Final</t>
        </is>
      </c>
      <c r="F8" s="39" t="inlineStr">
        <is>
          <t>Completed</t>
        </is>
      </c>
      <c r="G8" s="38" t="n">
        <v>46091</v>
      </c>
      <c r="H8" s="37" t="n">
        <v>98</v>
      </c>
      <c r="I8" s="39" t="inlineStr">
        <is>
          <t>Completed</t>
        </is>
      </c>
      <c r="J8" s="38" t="n">
        <v>46091</v>
      </c>
      <c r="K8" s="37" t="n">
        <v>94</v>
      </c>
      <c r="L8" s="39" t="inlineStr">
        <is>
          <t>Completed</t>
        </is>
      </c>
      <c r="M8" s="38" t="n">
        <v>46091</v>
      </c>
      <c r="N8" s="37" t="n">
        <v>96</v>
      </c>
      <c r="O8" s="39" t="inlineStr">
        <is>
          <t>Completed</t>
        </is>
      </c>
      <c r="P8" s="38" t="n">
        <v>46097</v>
      </c>
      <c r="Q8" s="37" t="n">
        <v>90</v>
      </c>
      <c r="R8" s="39" t="inlineStr">
        <is>
          <t>Completed</t>
        </is>
      </c>
      <c r="S8" s="38" t="n">
        <v>46097</v>
      </c>
      <c r="T8" s="37" t="n">
        <v>92</v>
      </c>
      <c r="U8" s="39" t="inlineStr">
        <is>
          <t>Completed</t>
        </is>
      </c>
      <c r="V8" s="38" t="n">
        <v>46091</v>
      </c>
      <c r="W8" s="37" t="n">
        <v>94</v>
      </c>
      <c r="X8" s="39" t="inlineStr">
        <is>
          <t>Completed</t>
        </is>
      </c>
      <c r="Y8" s="38" t="n">
        <v>46090</v>
      </c>
      <c r="Z8" s="37" t="n">
        <v>100</v>
      </c>
      <c r="AA8" s="40" t="inlineStr">
        <is>
          <t>Exempt</t>
        </is>
      </c>
      <c r="AB8" s="38" t="inlineStr"/>
      <c r="AC8" s="37" t="inlineStr"/>
      <c r="AD8" s="39" t="inlineStr">
        <is>
          <t>Completed</t>
        </is>
      </c>
      <c r="AE8" s="38" t="n">
        <v>46096</v>
      </c>
      <c r="AF8" s="37" t="inlineStr"/>
      <c r="AG8" s="39" t="inlineStr">
        <is>
          <t>Completed</t>
        </is>
      </c>
      <c r="AH8" s="38" t="n">
        <v>46097</v>
      </c>
      <c r="AI8" s="37" t="n">
        <v>88</v>
      </c>
      <c r="AJ8" s="39" t="inlineStr">
        <is>
          <t>Completed</t>
        </is>
      </c>
      <c r="AK8" s="38" t="n">
        <v>46118</v>
      </c>
      <c r="AL8" s="37" t="n">
        <v>86</v>
      </c>
      <c r="AM8" s="39" t="inlineStr">
        <is>
          <t>Completed</t>
        </is>
      </c>
      <c r="AN8" s="38" t="n">
        <v>46090</v>
      </c>
      <c r="AO8" s="37" t="n">
        <v>100</v>
      </c>
      <c r="AP8" s="39" t="inlineStr">
        <is>
          <t>Completed</t>
        </is>
      </c>
      <c r="AQ8" s="38" t="n">
        <v>46103</v>
      </c>
      <c r="AR8" s="37" t="n">
        <v>90</v>
      </c>
      <c r="AS8" s="39" t="inlineStr">
        <is>
          <t>Completed</t>
        </is>
      </c>
      <c r="AT8" s="38" t="n">
        <v>46104</v>
      </c>
      <c r="AU8" s="37" t="n">
        <v>88</v>
      </c>
      <c r="AV8" s="39" t="inlineStr">
        <is>
          <t>Completed</t>
        </is>
      </c>
      <c r="AW8" s="38" t="n">
        <v>46095</v>
      </c>
      <c r="AX8" s="37" t="inlineStr"/>
      <c r="AY8" s="39" t="inlineStr">
        <is>
          <t>Completed</t>
        </is>
      </c>
      <c r="AZ8" s="38" t="n">
        <v>46105</v>
      </c>
      <c r="BA8" s="37" t="n">
        <v>92</v>
      </c>
      <c r="BB8" s="39" t="inlineStr">
        <is>
          <t>Completed</t>
        </is>
      </c>
      <c r="BC8" s="38" t="n">
        <v>46106</v>
      </c>
      <c r="BD8" s="37" t="n">
        <v>86</v>
      </c>
      <c r="BE8" s="39" t="inlineStr">
        <is>
          <t>Completed</t>
        </is>
      </c>
      <c r="BF8" s="38" t="n">
        <v>46090</v>
      </c>
      <c r="BG8" s="37" t="inlineStr"/>
      <c r="BH8" s="40" t="inlineStr">
        <is>
          <t>Exempt</t>
        </is>
      </c>
      <c r="BI8" s="38" t="inlineStr"/>
      <c r="BJ8" s="37" t="inlineStr"/>
      <c r="BK8" s="40" t="inlineStr">
        <is>
          <t>Exempt</t>
        </is>
      </c>
      <c r="BL8" s="38" t="inlineStr"/>
      <c r="BM8" s="37" t="inlineStr"/>
      <c r="BN8" s="40" t="inlineStr">
        <is>
          <t>Exempt</t>
        </is>
      </c>
      <c r="BO8" s="38" t="inlineStr"/>
      <c r="BP8" s="37" t="inlineStr"/>
      <c r="BQ8" s="39" t="inlineStr">
        <is>
          <t>Completed</t>
        </is>
      </c>
      <c r="BR8" s="38" t="n">
        <v>46096</v>
      </c>
      <c r="BS8" s="37" t="n">
        <v>86</v>
      </c>
      <c r="BT8" s="39" t="inlineStr">
        <is>
          <t>Completed</t>
        </is>
      </c>
      <c r="BU8" s="38" t="n">
        <v>46106</v>
      </c>
      <c r="BV8" s="37" t="n">
        <v>90</v>
      </c>
      <c r="BW8" s="40" t="inlineStr">
        <is>
          <t>Exempt</t>
        </is>
      </c>
      <c r="BX8" s="38" t="inlineStr"/>
      <c r="BY8" s="37" t="inlineStr"/>
      <c r="BZ8" s="39" t="inlineStr">
        <is>
          <t>Completed</t>
        </is>
      </c>
      <c r="CA8" s="38" t="n">
        <v>46119</v>
      </c>
      <c r="CB8" s="37" t="inlineStr"/>
      <c r="CC8" s="39" t="inlineStr">
        <is>
          <t>Completed</t>
        </is>
      </c>
      <c r="CD8" s="38" t="n">
        <v>46120</v>
      </c>
      <c r="CE8" s="37" t="n">
        <v>86</v>
      </c>
      <c r="CF8" s="39" t="inlineStr">
        <is>
          <t>Completed</t>
        </is>
      </c>
      <c r="CG8" s="38" t="n">
        <v>46122</v>
      </c>
      <c r="CH8" s="37" t="n">
        <v>82</v>
      </c>
      <c r="CI8" s="39" t="inlineStr">
        <is>
          <t>Completed</t>
        </is>
      </c>
      <c r="CJ8" s="38" t="n">
        <v>46125</v>
      </c>
      <c r="CK8" s="37" t="n">
        <v>85</v>
      </c>
      <c r="CL8" s="43" t="inlineStr">
        <is>
          <t>In Progress</t>
        </is>
      </c>
      <c r="CM8" s="38" t="inlineStr"/>
      <c r="CN8" s="37" t="inlineStr"/>
      <c r="CO8" s="39" t="inlineStr">
        <is>
          <t>Completed</t>
        </is>
      </c>
      <c r="CP8" s="38" t="n">
        <v>46127</v>
      </c>
      <c r="CQ8" s="37" t="n">
        <v>88</v>
      </c>
      <c r="CR8">
        <f>IF(OR(F8="Completed",F8="In Progress",F8="Not Started",F8="Failed"),1,0)+IF(OR(I8="Completed",I8="In Progress",I8="Not Started",I8="Failed"),1,0)+IF(OR(L8="Completed",L8="In Progress",L8="Not Started",L8="Failed"),1,0)+IF(OR(O8="Completed",O8="In Progress",O8="Not Started",O8="Failed"),1,0)+IF(OR(R8="Completed",R8="In Progress",R8="Not Started",R8="Failed"),1,0)+IF(OR(U8="Completed",U8="In Progress",U8="Not Started",U8="Failed"),1,0)+IF(OR(X8="Completed",X8="In Progress",X8="Not Started",X8="Failed"),1,0)+IF(OR(AA8="Completed",AA8="In Progress",AA8="Not Started",AA8="Failed"),1,0)+IF(OR(AD8="Completed",AD8="In Progress",AD8="Not Started",AD8="Failed"),1,0)+IF(OR(AG8="Completed",AG8="In Progress",AG8="Not Started",AG8="Failed"),1,0)+IF(OR(AJ8="Completed",AJ8="In Progress",AJ8="Not Started",AJ8="Failed"),1,0)+IF(OR(AM8="Completed",AM8="In Progress",AM8="Not Started",AM8="Failed"),1,0)+IF(OR(AP8="Completed",AP8="In Progress",AP8="Not Started",AP8="Failed"),1,0)+IF(OR(AS8="Completed",AS8="In Progress",AS8="Not Started",AS8="Failed"),1,0)+IF(OR(AV8="Completed",AV8="In Progress",AV8="Not Started",AV8="Failed"),1,0)+IF(OR(AY8="Completed",AY8="In Progress",AY8="Not Started",AY8="Failed"),1,0)+IF(OR(BB8="Completed",BB8="In Progress",BB8="Not Started",BB8="Failed"),1,0)+IF(OR(BE8="Completed",BE8="In Progress",BE8="Not Started",BE8="Failed"),1,0)+IF(OR(BH8="Completed",BH8="In Progress",BH8="Not Started",BH8="Failed"),1,0)+IF(OR(BK8="Completed",BK8="In Progress",BK8="Not Started",BK8="Failed"),1,0)+IF(OR(BN8="Completed",BN8="In Progress",BN8="Not Started",BN8="Failed"),1,0)+IF(OR(BQ8="Completed",BQ8="In Progress",BQ8="Not Started",BQ8="Failed"),1,0)+IF(OR(BT8="Completed",BT8="In Progress",BT8="Not Started",BT8="Failed"),1,0)+IF(OR(BW8="Completed",BW8="In Progress",BW8="Not Started",BW8="Failed"),1,0)+IF(OR(BZ8="Completed",BZ8="In Progress",BZ8="Not Started",BZ8="Failed"),1,0)+IF(OR(CC8="Completed",CC8="In Progress",CC8="Not Started",CC8="Failed"),1,0)+IF(OR(CF8="Completed",CF8="In Progress",CF8="Not Started",CF8="Failed"),1,0)+IF(OR(CI8="Completed",CI8="In Progress",CI8="Not Started",CI8="Failed"),1,0)+IF(OR(CL8="Completed",CL8="In Progress",CL8="Not Started",CL8="Failed"),1,0)+IF(OR(CO8="Completed",CO8="In Progress",CO8="Not Started",CO8="Failed"),1,0)</f>
        <v/>
      </c>
      <c r="CS8">
        <f>IF(F8="Completed",1,0)+IF(I8="Completed",1,0)+IF(L8="Completed",1,0)+IF(O8="Completed",1,0)+IF(R8="Completed",1,0)+IF(U8="Completed",1,0)+IF(X8="Completed",1,0)+IF(AA8="Completed",1,0)+IF(AD8="Completed",1,0)+IF(AG8="Completed",1,0)+IF(AJ8="Completed",1,0)+IF(AM8="Completed",1,0)+IF(AP8="Completed",1,0)+IF(AS8="Completed",1,0)+IF(AV8="Completed",1,0)+IF(AY8="Completed",1,0)+IF(BB8="Completed",1,0)+IF(BE8="Completed",1,0)+IF(BH8="Completed",1,0)+IF(BK8="Completed",1,0)+IF(BN8="Completed",1,0)+IF(BQ8="Completed",1,0)+IF(BT8="Completed",1,0)+IF(BW8="Completed",1,0)+IF(BZ8="Completed",1,0)+IF(CC8="Completed",1,0)+IF(CF8="Completed",1,0)+IF(CI8="Completed",1,0)+IF(CL8="Completed",1,0)+IF(CO8="Completed",1,0)</f>
        <v/>
      </c>
      <c r="CT8" s="41">
        <f>IF(CR8=0,0,CS8/CR8)</f>
        <v/>
      </c>
      <c r="CU8" s="42">
        <f>IF((IF(H8&lt;&gt;"",1,0)+IF(K8&lt;&gt;"",1,0)+IF(N8&lt;&gt;"",1,0)+IF(Q8&lt;&gt;"",1,0)+IF(T8&lt;&gt;"",1,0)+IF(W8&lt;&gt;"",1,0)+IF(Z8&lt;&gt;"",1,0)+IF(AC8&lt;&gt;"",1,0)+IF(AF8&lt;&gt;"",1,0)+IF(AI8&lt;&gt;"",1,0)+IF(AL8&lt;&gt;"",1,0)+IF(AO8&lt;&gt;"",1,0)+IF(AR8&lt;&gt;"",1,0)+IF(AU8&lt;&gt;"",1,0)+IF(AX8&lt;&gt;"",1,0)+IF(BA8&lt;&gt;"",1,0)+IF(BD8&lt;&gt;"",1,0)+IF(BG8&lt;&gt;"",1,0)+IF(BJ8&lt;&gt;"",1,0)+IF(BM8&lt;&gt;"",1,0)+IF(BP8&lt;&gt;"",1,0)+IF(BS8&lt;&gt;"",1,0)+IF(BV8&lt;&gt;"",1,0)+IF(BY8&lt;&gt;"",1,0)+IF(CB8&lt;&gt;"",1,0)+IF(CE8&lt;&gt;"",1,0)+IF(CH8&lt;&gt;"",1,0)+IF(CK8&lt;&gt;"",1,0)+IF(CN8&lt;&gt;"",1,0)+IF(CQ8&lt;&gt;"",1,0))=0,0,(IF(H8&lt;&gt;"",H8,0)+IF(K8&lt;&gt;"",K8,0)+IF(N8&lt;&gt;"",N8,0)+IF(Q8&lt;&gt;"",Q8,0)+IF(T8&lt;&gt;"",T8,0)+IF(W8&lt;&gt;"",W8,0)+IF(Z8&lt;&gt;"",Z8,0)+IF(AC8&lt;&gt;"",AC8,0)+IF(AF8&lt;&gt;"",AF8,0)+IF(AI8&lt;&gt;"",AI8,0)+IF(AL8&lt;&gt;"",AL8,0)+IF(AO8&lt;&gt;"",AO8,0)+IF(AR8&lt;&gt;"",AR8,0)+IF(AU8&lt;&gt;"",AU8,0)+IF(AX8&lt;&gt;"",AX8,0)+IF(BA8&lt;&gt;"",BA8,0)+IF(BD8&lt;&gt;"",BD8,0)+IF(BG8&lt;&gt;"",BG8,0)+IF(BJ8&lt;&gt;"",BJ8,0)+IF(BM8&lt;&gt;"",BM8,0)+IF(BP8&lt;&gt;"",BP8,0)+IF(BS8&lt;&gt;"",BS8,0)+IF(BV8&lt;&gt;"",BV8,0)+IF(BY8&lt;&gt;"",BY8,0)+IF(CB8&lt;&gt;"",CB8,0)+IF(CE8&lt;&gt;"",CE8,0)+IF(CH8&lt;&gt;"",CH8,0)+IF(CK8&lt;&gt;"",CK8,0)+IF(CN8&lt;&gt;"",CN8,0)+IF(CQ8&lt;&gt;"",CQ8,0))/(IF(H8&lt;&gt;"",1,0)+IF(K8&lt;&gt;"",1,0)+IF(N8&lt;&gt;"",1,0)+IF(Q8&lt;&gt;"",1,0)+IF(T8&lt;&gt;"",1,0)+IF(W8&lt;&gt;"",1,0)+IF(Z8&lt;&gt;"",1,0)+IF(AC8&lt;&gt;"",1,0)+IF(AF8&lt;&gt;"",1,0)+IF(AI8&lt;&gt;"",1,0)+IF(AL8&lt;&gt;"",1,0)+IF(AO8&lt;&gt;"",1,0)+IF(AR8&lt;&gt;"",1,0)+IF(AU8&lt;&gt;"",1,0)+IF(AX8&lt;&gt;"",1,0)+IF(BA8&lt;&gt;"",1,0)+IF(BD8&lt;&gt;"",1,0)+IF(BG8&lt;&gt;"",1,0)+IF(BJ8&lt;&gt;"",1,0)+IF(BM8&lt;&gt;"",1,0)+IF(BP8&lt;&gt;"",1,0)+IF(BS8&lt;&gt;"",1,0)+IF(BV8&lt;&gt;"",1,0)+IF(BY8&lt;&gt;"",1,0)+IF(CB8&lt;&gt;"",1,0)+IF(CE8&lt;&gt;"",1,0)+IF(CH8&lt;&gt;"",1,0)+IF(CK8&lt;&gt;"",1,0)+IF(CN8&lt;&gt;"",1,0)+IF(CQ8&lt;&gt;"",1,0)))</f>
        <v/>
      </c>
      <c r="CV8">
        <f>IF(CT8&gt;=0.7,"Yes","No")</f>
        <v/>
      </c>
    </row>
    <row r="9">
      <c r="A9" s="37" t="inlineStr">
        <is>
          <t>EMP-008</t>
        </is>
      </c>
      <c r="B9" t="inlineStr">
        <is>
          <t>Lisa M. Patel</t>
        </is>
      </c>
      <c r="C9" t="inlineStr">
        <is>
          <t>Agent</t>
        </is>
      </c>
      <c r="D9" s="38" t="n">
        <v>46097</v>
      </c>
      <c r="E9" t="inlineStr">
        <is>
          <t>Final</t>
        </is>
      </c>
      <c r="F9" s="39" t="inlineStr">
        <is>
          <t>Completed</t>
        </is>
      </c>
      <c r="G9" s="38" t="n">
        <v>46099</v>
      </c>
      <c r="H9" s="37" t="n">
        <v>90</v>
      </c>
      <c r="I9" s="39" t="inlineStr">
        <is>
          <t>Completed</t>
        </is>
      </c>
      <c r="J9" s="38" t="n">
        <v>46099</v>
      </c>
      <c r="K9" s="37" t="n">
        <v>85</v>
      </c>
      <c r="L9" s="39" t="inlineStr">
        <is>
          <t>Completed</t>
        </is>
      </c>
      <c r="M9" s="38" t="n">
        <v>46098</v>
      </c>
      <c r="N9" s="37" t="n">
        <v>88</v>
      </c>
      <c r="O9" s="39" t="inlineStr">
        <is>
          <t>Completed</t>
        </is>
      </c>
      <c r="P9" s="38" t="n">
        <v>46104</v>
      </c>
      <c r="Q9" s="37" t="n">
        <v>80</v>
      </c>
      <c r="R9" s="39" t="inlineStr">
        <is>
          <t>Completed</t>
        </is>
      </c>
      <c r="S9" s="38" t="n">
        <v>46105</v>
      </c>
      <c r="T9" s="37" t="n">
        <v>82</v>
      </c>
      <c r="U9" s="39" t="inlineStr">
        <is>
          <t>Completed</t>
        </is>
      </c>
      <c r="V9" s="38" t="n">
        <v>46098</v>
      </c>
      <c r="W9" s="37" t="n">
        <v>85</v>
      </c>
      <c r="X9" s="39" t="inlineStr">
        <is>
          <t>Completed</t>
        </is>
      </c>
      <c r="Y9" s="38" t="n">
        <v>46097</v>
      </c>
      <c r="Z9" s="37" t="n">
        <v>100</v>
      </c>
      <c r="AA9" s="39" t="inlineStr">
        <is>
          <t>Completed</t>
        </is>
      </c>
      <c r="AB9" s="38" t="n">
        <v>46113</v>
      </c>
      <c r="AC9" s="37" t="n">
        <v>78</v>
      </c>
      <c r="AD9" s="39" t="inlineStr">
        <is>
          <t>Completed</t>
        </is>
      </c>
      <c r="AE9" s="38" t="n">
        <v>46104</v>
      </c>
      <c r="AF9" s="37" t="inlineStr"/>
      <c r="AG9" s="39" t="inlineStr">
        <is>
          <t>Completed</t>
        </is>
      </c>
      <c r="AH9" s="38" t="n">
        <v>46105</v>
      </c>
      <c r="AI9" s="37" t="n">
        <v>80</v>
      </c>
      <c r="AJ9" s="40" t="inlineStr">
        <is>
          <t>Exempt</t>
        </is>
      </c>
      <c r="AK9" s="38" t="inlineStr"/>
      <c r="AL9" s="37" t="inlineStr"/>
      <c r="AM9" s="39" t="inlineStr">
        <is>
          <t>Completed</t>
        </is>
      </c>
      <c r="AN9" s="38" t="n">
        <v>46097</v>
      </c>
      <c r="AO9" s="37" t="n">
        <v>100</v>
      </c>
      <c r="AP9" s="39" t="inlineStr">
        <is>
          <t>Completed</t>
        </is>
      </c>
      <c r="AQ9" s="38" t="n">
        <v>46111</v>
      </c>
      <c r="AR9" s="37" t="n">
        <v>80</v>
      </c>
      <c r="AS9" s="39" t="inlineStr">
        <is>
          <t>Completed</t>
        </is>
      </c>
      <c r="AT9" s="38" t="n">
        <v>46112</v>
      </c>
      <c r="AU9" s="37" t="n">
        <v>80</v>
      </c>
      <c r="AV9" s="39" t="inlineStr">
        <is>
          <t>Completed</t>
        </is>
      </c>
      <c r="AW9" s="38" t="n">
        <v>46103</v>
      </c>
      <c r="AX9" s="37" t="inlineStr"/>
      <c r="AY9" s="43" t="inlineStr">
        <is>
          <t>In Progress</t>
        </is>
      </c>
      <c r="AZ9" s="38" t="inlineStr"/>
      <c r="BA9" s="37" t="inlineStr"/>
      <c r="BB9" s="44" t="inlineStr">
        <is>
          <t>Not Started</t>
        </is>
      </c>
      <c r="BC9" s="38" t="inlineStr"/>
      <c r="BD9" s="37" t="inlineStr"/>
      <c r="BE9" s="39" t="inlineStr">
        <is>
          <t>Completed</t>
        </is>
      </c>
      <c r="BF9" s="38" t="n">
        <v>46097</v>
      </c>
      <c r="BG9" s="37" t="inlineStr"/>
      <c r="BH9" s="39" t="inlineStr">
        <is>
          <t>Completed</t>
        </is>
      </c>
      <c r="BI9" s="38" t="n">
        <v>46115</v>
      </c>
      <c r="BJ9" s="37" t="n">
        <v>80</v>
      </c>
      <c r="BK9" s="44" t="inlineStr">
        <is>
          <t>Not Started</t>
        </is>
      </c>
      <c r="BL9" s="38" t="inlineStr"/>
      <c r="BM9" s="37" t="inlineStr"/>
      <c r="BN9" s="43" t="inlineStr">
        <is>
          <t>In Progress</t>
        </is>
      </c>
      <c r="BO9" s="38" t="inlineStr"/>
      <c r="BP9" s="37" t="inlineStr"/>
      <c r="BQ9" s="39" t="inlineStr">
        <is>
          <t>Completed</t>
        </is>
      </c>
      <c r="BR9" s="38" t="n">
        <v>46104</v>
      </c>
      <c r="BS9" s="37" t="n">
        <v>80</v>
      </c>
      <c r="BT9" s="43" t="inlineStr">
        <is>
          <t>In Progress</t>
        </is>
      </c>
      <c r="BU9" s="38" t="inlineStr"/>
      <c r="BV9" s="37" t="inlineStr"/>
      <c r="BW9" s="40" t="inlineStr">
        <is>
          <t>Exempt</t>
        </is>
      </c>
      <c r="BX9" s="38" t="inlineStr"/>
      <c r="BY9" s="37" t="inlineStr"/>
      <c r="BZ9" s="44" t="inlineStr">
        <is>
          <t>Not Started</t>
        </is>
      </c>
      <c r="CA9" s="38" t="inlineStr"/>
      <c r="CB9" s="37" t="inlineStr"/>
      <c r="CC9" s="40" t="inlineStr">
        <is>
          <t>Exempt</t>
        </is>
      </c>
      <c r="CD9" s="38" t="inlineStr"/>
      <c r="CE9" s="37" t="inlineStr"/>
      <c r="CF9" s="40" t="inlineStr">
        <is>
          <t>Exempt</t>
        </is>
      </c>
      <c r="CG9" s="38" t="inlineStr"/>
      <c r="CH9" s="37" t="inlineStr"/>
      <c r="CI9" s="40" t="inlineStr">
        <is>
          <t>Exempt</t>
        </is>
      </c>
      <c r="CJ9" s="38" t="inlineStr"/>
      <c r="CK9" s="37" t="inlineStr"/>
      <c r="CL9" s="40" t="inlineStr">
        <is>
          <t>Exempt</t>
        </is>
      </c>
      <c r="CM9" s="38" t="inlineStr"/>
      <c r="CN9" s="37" t="inlineStr"/>
      <c r="CO9" s="40" t="inlineStr">
        <is>
          <t>Exempt</t>
        </is>
      </c>
      <c r="CP9" s="38" t="inlineStr"/>
      <c r="CQ9" s="37" t="inlineStr"/>
      <c r="CR9">
        <f>IF(OR(F9="Completed",F9="In Progress",F9="Not Started",F9="Failed"),1,0)+IF(OR(I9="Completed",I9="In Progress",I9="Not Started",I9="Failed"),1,0)+IF(OR(L9="Completed",L9="In Progress",L9="Not Started",L9="Failed"),1,0)+IF(OR(O9="Completed",O9="In Progress",O9="Not Started",O9="Failed"),1,0)+IF(OR(R9="Completed",R9="In Progress",R9="Not Started",R9="Failed"),1,0)+IF(OR(U9="Completed",U9="In Progress",U9="Not Started",U9="Failed"),1,0)+IF(OR(X9="Completed",X9="In Progress",X9="Not Started",X9="Failed"),1,0)+IF(OR(AA9="Completed",AA9="In Progress",AA9="Not Started",AA9="Failed"),1,0)+IF(OR(AD9="Completed",AD9="In Progress",AD9="Not Started",AD9="Failed"),1,0)+IF(OR(AG9="Completed",AG9="In Progress",AG9="Not Started",AG9="Failed"),1,0)+IF(OR(AJ9="Completed",AJ9="In Progress",AJ9="Not Started",AJ9="Failed"),1,0)+IF(OR(AM9="Completed",AM9="In Progress",AM9="Not Started",AM9="Failed"),1,0)+IF(OR(AP9="Completed",AP9="In Progress",AP9="Not Started",AP9="Failed"),1,0)+IF(OR(AS9="Completed",AS9="In Progress",AS9="Not Started",AS9="Failed"),1,0)+IF(OR(AV9="Completed",AV9="In Progress",AV9="Not Started",AV9="Failed"),1,0)+IF(OR(AY9="Completed",AY9="In Progress",AY9="Not Started",AY9="Failed"),1,0)+IF(OR(BB9="Completed",BB9="In Progress",BB9="Not Started",BB9="Failed"),1,0)+IF(OR(BE9="Completed",BE9="In Progress",BE9="Not Started",BE9="Failed"),1,0)+IF(OR(BH9="Completed",BH9="In Progress",BH9="Not Started",BH9="Failed"),1,0)+IF(OR(BK9="Completed",BK9="In Progress",BK9="Not Started",BK9="Failed"),1,0)+IF(OR(BN9="Completed",BN9="In Progress",BN9="Not Started",BN9="Failed"),1,0)+IF(OR(BQ9="Completed",BQ9="In Progress",BQ9="Not Started",BQ9="Failed"),1,0)+IF(OR(BT9="Completed",BT9="In Progress",BT9="Not Started",BT9="Failed"),1,0)+IF(OR(BW9="Completed",BW9="In Progress",BW9="Not Started",BW9="Failed"),1,0)+IF(OR(BZ9="Completed",BZ9="In Progress",BZ9="Not Started",BZ9="Failed"),1,0)+IF(OR(CC9="Completed",CC9="In Progress",CC9="Not Started",CC9="Failed"),1,0)+IF(OR(CF9="Completed",CF9="In Progress",CF9="Not Started",CF9="Failed"),1,0)+IF(OR(CI9="Completed",CI9="In Progress",CI9="Not Started",CI9="Failed"),1,0)+IF(OR(CL9="Completed",CL9="In Progress",CL9="Not Started",CL9="Failed"),1,0)+IF(OR(CO9="Completed",CO9="In Progress",CO9="Not Started",CO9="Failed"),1,0)</f>
        <v/>
      </c>
      <c r="CS9">
        <f>IF(F9="Completed",1,0)+IF(I9="Completed",1,0)+IF(L9="Completed",1,0)+IF(O9="Completed",1,0)+IF(R9="Completed",1,0)+IF(U9="Completed",1,0)+IF(X9="Completed",1,0)+IF(AA9="Completed",1,0)+IF(AD9="Completed",1,0)+IF(AG9="Completed",1,0)+IF(AJ9="Completed",1,0)+IF(AM9="Completed",1,0)+IF(AP9="Completed",1,0)+IF(AS9="Completed",1,0)+IF(AV9="Completed",1,0)+IF(AY9="Completed",1,0)+IF(BB9="Completed",1,0)+IF(BE9="Completed",1,0)+IF(BH9="Completed",1,0)+IF(BK9="Completed",1,0)+IF(BN9="Completed",1,0)+IF(BQ9="Completed",1,0)+IF(BT9="Completed",1,0)+IF(BW9="Completed",1,0)+IF(BZ9="Completed",1,0)+IF(CC9="Completed",1,0)+IF(CF9="Completed",1,0)+IF(CI9="Completed",1,0)+IF(CL9="Completed",1,0)+IF(CO9="Completed",1,0)</f>
        <v/>
      </c>
      <c r="CT9" s="41">
        <f>IF(CR9=0,0,CS9/CR9)</f>
        <v/>
      </c>
      <c r="CU9" s="42">
        <f>IF((IF(H9&lt;&gt;"",1,0)+IF(K9&lt;&gt;"",1,0)+IF(N9&lt;&gt;"",1,0)+IF(Q9&lt;&gt;"",1,0)+IF(T9&lt;&gt;"",1,0)+IF(W9&lt;&gt;"",1,0)+IF(Z9&lt;&gt;"",1,0)+IF(AC9&lt;&gt;"",1,0)+IF(AF9&lt;&gt;"",1,0)+IF(AI9&lt;&gt;"",1,0)+IF(AL9&lt;&gt;"",1,0)+IF(AO9&lt;&gt;"",1,0)+IF(AR9&lt;&gt;"",1,0)+IF(AU9&lt;&gt;"",1,0)+IF(AX9&lt;&gt;"",1,0)+IF(BA9&lt;&gt;"",1,0)+IF(BD9&lt;&gt;"",1,0)+IF(BG9&lt;&gt;"",1,0)+IF(BJ9&lt;&gt;"",1,0)+IF(BM9&lt;&gt;"",1,0)+IF(BP9&lt;&gt;"",1,0)+IF(BS9&lt;&gt;"",1,0)+IF(BV9&lt;&gt;"",1,0)+IF(BY9&lt;&gt;"",1,0)+IF(CB9&lt;&gt;"",1,0)+IF(CE9&lt;&gt;"",1,0)+IF(CH9&lt;&gt;"",1,0)+IF(CK9&lt;&gt;"",1,0)+IF(CN9&lt;&gt;"",1,0)+IF(CQ9&lt;&gt;"",1,0))=0,0,(IF(H9&lt;&gt;"",H9,0)+IF(K9&lt;&gt;"",K9,0)+IF(N9&lt;&gt;"",N9,0)+IF(Q9&lt;&gt;"",Q9,0)+IF(T9&lt;&gt;"",T9,0)+IF(W9&lt;&gt;"",W9,0)+IF(Z9&lt;&gt;"",Z9,0)+IF(AC9&lt;&gt;"",AC9,0)+IF(AF9&lt;&gt;"",AF9,0)+IF(AI9&lt;&gt;"",AI9,0)+IF(AL9&lt;&gt;"",AL9,0)+IF(AO9&lt;&gt;"",AO9,0)+IF(AR9&lt;&gt;"",AR9,0)+IF(AU9&lt;&gt;"",AU9,0)+IF(AX9&lt;&gt;"",AX9,0)+IF(BA9&lt;&gt;"",BA9,0)+IF(BD9&lt;&gt;"",BD9,0)+IF(BG9&lt;&gt;"",BG9,0)+IF(BJ9&lt;&gt;"",BJ9,0)+IF(BM9&lt;&gt;"",BM9,0)+IF(BP9&lt;&gt;"",BP9,0)+IF(BS9&lt;&gt;"",BS9,0)+IF(BV9&lt;&gt;"",BV9,0)+IF(BY9&lt;&gt;"",BY9,0)+IF(CB9&lt;&gt;"",CB9,0)+IF(CE9&lt;&gt;"",CE9,0)+IF(CH9&lt;&gt;"",CH9,0)+IF(CK9&lt;&gt;"",CK9,0)+IF(CN9&lt;&gt;"",CN9,0)+IF(CQ9&lt;&gt;"",CQ9,0))/(IF(H9&lt;&gt;"",1,0)+IF(K9&lt;&gt;"",1,0)+IF(N9&lt;&gt;"",1,0)+IF(Q9&lt;&gt;"",1,0)+IF(T9&lt;&gt;"",1,0)+IF(W9&lt;&gt;"",1,0)+IF(Z9&lt;&gt;"",1,0)+IF(AC9&lt;&gt;"",1,0)+IF(AF9&lt;&gt;"",1,0)+IF(AI9&lt;&gt;"",1,0)+IF(AL9&lt;&gt;"",1,0)+IF(AO9&lt;&gt;"",1,0)+IF(AR9&lt;&gt;"",1,0)+IF(AU9&lt;&gt;"",1,0)+IF(AX9&lt;&gt;"",1,0)+IF(BA9&lt;&gt;"",1,0)+IF(BD9&lt;&gt;"",1,0)+IF(BG9&lt;&gt;"",1,0)+IF(BJ9&lt;&gt;"",1,0)+IF(BM9&lt;&gt;"",1,0)+IF(BP9&lt;&gt;"",1,0)+IF(BS9&lt;&gt;"",1,0)+IF(BV9&lt;&gt;"",1,0)+IF(BY9&lt;&gt;"",1,0)+IF(CB9&lt;&gt;"",1,0)+IF(CE9&lt;&gt;"",1,0)+IF(CH9&lt;&gt;"",1,0)+IF(CK9&lt;&gt;"",1,0)+IF(CN9&lt;&gt;"",1,0)+IF(CQ9&lt;&gt;"",1,0)))</f>
        <v/>
      </c>
      <c r="CV9">
        <f>IF(CT9&gt;=0.7,"Yes","No")</f>
        <v/>
      </c>
    </row>
    <row r="10">
      <c r="A10" s="37" t="inlineStr">
        <is>
          <t>EMP-009</t>
        </is>
      </c>
      <c r="B10" t="inlineStr">
        <is>
          <t>James W. O'Brien</t>
        </is>
      </c>
      <c r="C10" t="inlineStr">
        <is>
          <t>Agent</t>
        </is>
      </c>
      <c r="D10" s="38" t="n">
        <v>46097</v>
      </c>
      <c r="E10" t="inlineStr">
        <is>
          <t>Interim</t>
        </is>
      </c>
      <c r="F10" s="39" t="inlineStr">
        <is>
          <t>Completed</t>
        </is>
      </c>
      <c r="G10" s="38" t="n">
        <v>46100</v>
      </c>
      <c r="H10" s="37" t="n">
        <v>88</v>
      </c>
      <c r="I10" s="39" t="inlineStr">
        <is>
          <t>Completed</t>
        </is>
      </c>
      <c r="J10" s="38" t="n">
        <v>46100</v>
      </c>
      <c r="K10" s="37" t="n">
        <v>82</v>
      </c>
      <c r="L10" s="39" t="inlineStr">
        <is>
          <t>Completed</t>
        </is>
      </c>
      <c r="M10" s="38" t="n">
        <v>46099</v>
      </c>
      <c r="N10" s="37" t="n">
        <v>86</v>
      </c>
      <c r="O10" s="39" t="inlineStr">
        <is>
          <t>Completed</t>
        </is>
      </c>
      <c r="P10" s="38" t="n">
        <v>46105</v>
      </c>
      <c r="Q10" s="37" t="n">
        <v>78</v>
      </c>
      <c r="R10" s="45" t="inlineStr">
        <is>
          <t>Failed</t>
        </is>
      </c>
      <c r="S10" s="38" t="n">
        <v>46106</v>
      </c>
      <c r="T10" s="37" t="n">
        <v>70</v>
      </c>
      <c r="U10" s="39" t="inlineStr">
        <is>
          <t>Completed</t>
        </is>
      </c>
      <c r="V10" s="38" t="n">
        <v>46099</v>
      </c>
      <c r="W10" s="37" t="n">
        <v>84</v>
      </c>
      <c r="X10" s="39" t="inlineStr">
        <is>
          <t>Completed</t>
        </is>
      </c>
      <c r="Y10" s="38" t="n">
        <v>46098</v>
      </c>
      <c r="Z10" s="37" t="n">
        <v>100</v>
      </c>
      <c r="AA10" s="43" t="inlineStr">
        <is>
          <t>In Progress</t>
        </is>
      </c>
      <c r="AB10" s="38" t="inlineStr"/>
      <c r="AC10" s="37" t="inlineStr"/>
      <c r="AD10" s="39" t="inlineStr">
        <is>
          <t>Completed</t>
        </is>
      </c>
      <c r="AE10" s="38" t="n">
        <v>46105</v>
      </c>
      <c r="AF10" s="37" t="inlineStr"/>
      <c r="AG10" s="39" t="inlineStr">
        <is>
          <t>Completed</t>
        </is>
      </c>
      <c r="AH10" s="38" t="n">
        <v>46106</v>
      </c>
      <c r="AI10" s="37" t="n">
        <v>80</v>
      </c>
      <c r="AJ10" s="40" t="inlineStr">
        <is>
          <t>Exempt</t>
        </is>
      </c>
      <c r="AK10" s="38" t="inlineStr"/>
      <c r="AL10" s="37" t="inlineStr"/>
      <c r="AM10" s="39" t="inlineStr">
        <is>
          <t>Completed</t>
        </is>
      </c>
      <c r="AN10" s="38" t="n">
        <v>46098</v>
      </c>
      <c r="AO10" s="37" t="n">
        <v>100</v>
      </c>
      <c r="AP10" s="39" t="inlineStr">
        <is>
          <t>Completed</t>
        </is>
      </c>
      <c r="AQ10" s="38" t="n">
        <v>46113</v>
      </c>
      <c r="AR10" s="37" t="n">
        <v>78</v>
      </c>
      <c r="AS10" s="43" t="inlineStr">
        <is>
          <t>In Progress</t>
        </is>
      </c>
      <c r="AT10" s="38" t="inlineStr"/>
      <c r="AU10" s="37" t="inlineStr"/>
      <c r="AV10" s="39" t="inlineStr">
        <is>
          <t>Completed</t>
        </is>
      </c>
      <c r="AW10" s="38" t="n">
        <v>46104</v>
      </c>
      <c r="AX10" s="37" t="inlineStr"/>
      <c r="AY10" s="44" t="inlineStr">
        <is>
          <t>Not Started</t>
        </is>
      </c>
      <c r="AZ10" s="38" t="inlineStr"/>
      <c r="BA10" s="37" t="inlineStr"/>
      <c r="BB10" s="44" t="inlineStr">
        <is>
          <t>Not Started</t>
        </is>
      </c>
      <c r="BC10" s="38" t="inlineStr"/>
      <c r="BD10" s="37" t="inlineStr"/>
      <c r="BE10" s="39" t="inlineStr">
        <is>
          <t>Completed</t>
        </is>
      </c>
      <c r="BF10" s="38" t="n">
        <v>46098</v>
      </c>
      <c r="BG10" s="37" t="inlineStr"/>
      <c r="BH10" s="43" t="inlineStr">
        <is>
          <t>In Progress</t>
        </is>
      </c>
      <c r="BI10" s="38" t="inlineStr"/>
      <c r="BJ10" s="37" t="inlineStr"/>
      <c r="BK10" s="44" t="inlineStr">
        <is>
          <t>Not Started</t>
        </is>
      </c>
      <c r="BL10" s="38" t="inlineStr"/>
      <c r="BM10" s="37" t="inlineStr"/>
      <c r="BN10" s="44" t="inlineStr">
        <is>
          <t>Not Started</t>
        </is>
      </c>
      <c r="BO10" s="38" t="inlineStr"/>
      <c r="BP10" s="37" t="inlineStr"/>
      <c r="BQ10" s="39" t="inlineStr">
        <is>
          <t>Completed</t>
        </is>
      </c>
      <c r="BR10" s="38" t="n">
        <v>46105</v>
      </c>
      <c r="BS10" s="37" t="n">
        <v>78</v>
      </c>
      <c r="BT10" s="44" t="inlineStr">
        <is>
          <t>Not Started</t>
        </is>
      </c>
      <c r="BU10" s="38" t="inlineStr"/>
      <c r="BV10" s="37" t="inlineStr"/>
      <c r="BW10" s="40" t="inlineStr">
        <is>
          <t>Exempt</t>
        </is>
      </c>
      <c r="BX10" s="38" t="inlineStr"/>
      <c r="BY10" s="37" t="inlineStr"/>
      <c r="BZ10" s="44" t="inlineStr">
        <is>
          <t>Not Started</t>
        </is>
      </c>
      <c r="CA10" s="38" t="inlineStr"/>
      <c r="CB10" s="37" t="inlineStr"/>
      <c r="CC10" s="40" t="inlineStr">
        <is>
          <t>Exempt</t>
        </is>
      </c>
      <c r="CD10" s="38" t="inlineStr"/>
      <c r="CE10" s="37" t="inlineStr"/>
      <c r="CF10" s="40" t="inlineStr">
        <is>
          <t>Exempt</t>
        </is>
      </c>
      <c r="CG10" s="38" t="inlineStr"/>
      <c r="CH10" s="37" t="inlineStr"/>
      <c r="CI10" s="40" t="inlineStr">
        <is>
          <t>Exempt</t>
        </is>
      </c>
      <c r="CJ10" s="38" t="inlineStr"/>
      <c r="CK10" s="37" t="inlineStr"/>
      <c r="CL10" s="40" t="inlineStr">
        <is>
          <t>Exempt</t>
        </is>
      </c>
      <c r="CM10" s="38" t="inlineStr"/>
      <c r="CN10" s="37" t="inlineStr"/>
      <c r="CO10" s="40" t="inlineStr">
        <is>
          <t>Exempt</t>
        </is>
      </c>
      <c r="CP10" s="38" t="inlineStr"/>
      <c r="CQ10" s="37" t="inlineStr"/>
      <c r="CR10">
        <f>IF(OR(F10="Completed",F10="In Progress",F10="Not Started",F10="Failed"),1,0)+IF(OR(I10="Completed",I10="In Progress",I10="Not Started",I10="Failed"),1,0)+IF(OR(L10="Completed",L10="In Progress",L10="Not Started",L10="Failed"),1,0)+IF(OR(O10="Completed",O10="In Progress",O10="Not Started",O10="Failed"),1,0)+IF(OR(R10="Completed",R10="In Progress",R10="Not Started",R10="Failed"),1,0)+IF(OR(U10="Completed",U10="In Progress",U10="Not Started",U10="Failed"),1,0)+IF(OR(X10="Completed",X10="In Progress",X10="Not Started",X10="Failed"),1,0)+IF(OR(AA10="Completed",AA10="In Progress",AA10="Not Started",AA10="Failed"),1,0)+IF(OR(AD10="Completed",AD10="In Progress",AD10="Not Started",AD10="Failed"),1,0)+IF(OR(AG10="Completed",AG10="In Progress",AG10="Not Started",AG10="Failed"),1,0)+IF(OR(AJ10="Completed",AJ10="In Progress",AJ10="Not Started",AJ10="Failed"),1,0)+IF(OR(AM10="Completed",AM10="In Progress",AM10="Not Started",AM10="Failed"),1,0)+IF(OR(AP10="Completed",AP10="In Progress",AP10="Not Started",AP10="Failed"),1,0)+IF(OR(AS10="Completed",AS10="In Progress",AS10="Not Started",AS10="Failed"),1,0)+IF(OR(AV10="Completed",AV10="In Progress",AV10="Not Started",AV10="Failed"),1,0)+IF(OR(AY10="Completed",AY10="In Progress",AY10="Not Started",AY10="Failed"),1,0)+IF(OR(BB10="Completed",BB10="In Progress",BB10="Not Started",BB10="Failed"),1,0)+IF(OR(BE10="Completed",BE10="In Progress",BE10="Not Started",BE10="Failed"),1,0)+IF(OR(BH10="Completed",BH10="In Progress",BH10="Not Started",BH10="Failed"),1,0)+IF(OR(BK10="Completed",BK10="In Progress",BK10="Not Started",BK10="Failed"),1,0)+IF(OR(BN10="Completed",BN10="In Progress",BN10="Not Started",BN10="Failed"),1,0)+IF(OR(BQ10="Completed",BQ10="In Progress",BQ10="Not Started",BQ10="Failed"),1,0)+IF(OR(BT10="Completed",BT10="In Progress",BT10="Not Started",BT10="Failed"),1,0)+IF(OR(BW10="Completed",BW10="In Progress",BW10="Not Started",BW10="Failed"),1,0)+IF(OR(BZ10="Completed",BZ10="In Progress",BZ10="Not Started",BZ10="Failed"),1,0)+IF(OR(CC10="Completed",CC10="In Progress",CC10="Not Started",CC10="Failed"),1,0)+IF(OR(CF10="Completed",CF10="In Progress",CF10="Not Started",CF10="Failed"),1,0)+IF(OR(CI10="Completed",CI10="In Progress",CI10="Not Started",CI10="Failed"),1,0)+IF(OR(CL10="Completed",CL10="In Progress",CL10="Not Started",CL10="Failed"),1,0)+IF(OR(CO10="Completed",CO10="In Progress",CO10="Not Started",CO10="Failed"),1,0)</f>
        <v/>
      </c>
      <c r="CS10">
        <f>IF(F10="Completed",1,0)+IF(I10="Completed",1,0)+IF(L10="Completed",1,0)+IF(O10="Completed",1,0)+IF(R10="Completed",1,0)+IF(U10="Completed",1,0)+IF(X10="Completed",1,0)+IF(AA10="Completed",1,0)+IF(AD10="Completed",1,0)+IF(AG10="Completed",1,0)+IF(AJ10="Completed",1,0)+IF(AM10="Completed",1,0)+IF(AP10="Completed",1,0)+IF(AS10="Completed",1,0)+IF(AV10="Completed",1,0)+IF(AY10="Completed",1,0)+IF(BB10="Completed",1,0)+IF(BE10="Completed",1,0)+IF(BH10="Completed",1,0)+IF(BK10="Completed",1,0)+IF(BN10="Completed",1,0)+IF(BQ10="Completed",1,0)+IF(BT10="Completed",1,0)+IF(BW10="Completed",1,0)+IF(BZ10="Completed",1,0)+IF(CC10="Completed",1,0)+IF(CF10="Completed",1,0)+IF(CI10="Completed",1,0)+IF(CL10="Completed",1,0)+IF(CO10="Completed",1,0)</f>
        <v/>
      </c>
      <c r="CT10" s="41">
        <f>IF(CR10=0,0,CS10/CR10)</f>
        <v/>
      </c>
      <c r="CU10" s="42">
        <f>IF((IF(H10&lt;&gt;"",1,0)+IF(K10&lt;&gt;"",1,0)+IF(N10&lt;&gt;"",1,0)+IF(Q10&lt;&gt;"",1,0)+IF(T10&lt;&gt;"",1,0)+IF(W10&lt;&gt;"",1,0)+IF(Z10&lt;&gt;"",1,0)+IF(AC10&lt;&gt;"",1,0)+IF(AF10&lt;&gt;"",1,0)+IF(AI10&lt;&gt;"",1,0)+IF(AL10&lt;&gt;"",1,0)+IF(AO10&lt;&gt;"",1,0)+IF(AR10&lt;&gt;"",1,0)+IF(AU10&lt;&gt;"",1,0)+IF(AX10&lt;&gt;"",1,0)+IF(BA10&lt;&gt;"",1,0)+IF(BD10&lt;&gt;"",1,0)+IF(BG10&lt;&gt;"",1,0)+IF(BJ10&lt;&gt;"",1,0)+IF(BM10&lt;&gt;"",1,0)+IF(BP10&lt;&gt;"",1,0)+IF(BS10&lt;&gt;"",1,0)+IF(BV10&lt;&gt;"",1,0)+IF(BY10&lt;&gt;"",1,0)+IF(CB10&lt;&gt;"",1,0)+IF(CE10&lt;&gt;"",1,0)+IF(CH10&lt;&gt;"",1,0)+IF(CK10&lt;&gt;"",1,0)+IF(CN10&lt;&gt;"",1,0)+IF(CQ10&lt;&gt;"",1,0))=0,0,(IF(H10&lt;&gt;"",H10,0)+IF(K10&lt;&gt;"",K10,0)+IF(N10&lt;&gt;"",N10,0)+IF(Q10&lt;&gt;"",Q10,0)+IF(T10&lt;&gt;"",T10,0)+IF(W10&lt;&gt;"",W10,0)+IF(Z10&lt;&gt;"",Z10,0)+IF(AC10&lt;&gt;"",AC10,0)+IF(AF10&lt;&gt;"",AF10,0)+IF(AI10&lt;&gt;"",AI10,0)+IF(AL10&lt;&gt;"",AL10,0)+IF(AO10&lt;&gt;"",AO10,0)+IF(AR10&lt;&gt;"",AR10,0)+IF(AU10&lt;&gt;"",AU10,0)+IF(AX10&lt;&gt;"",AX10,0)+IF(BA10&lt;&gt;"",BA10,0)+IF(BD10&lt;&gt;"",BD10,0)+IF(BG10&lt;&gt;"",BG10,0)+IF(BJ10&lt;&gt;"",BJ10,0)+IF(BM10&lt;&gt;"",BM10,0)+IF(BP10&lt;&gt;"",BP10,0)+IF(BS10&lt;&gt;"",BS10,0)+IF(BV10&lt;&gt;"",BV10,0)+IF(BY10&lt;&gt;"",BY10,0)+IF(CB10&lt;&gt;"",CB10,0)+IF(CE10&lt;&gt;"",CE10,0)+IF(CH10&lt;&gt;"",CH10,0)+IF(CK10&lt;&gt;"",CK10,0)+IF(CN10&lt;&gt;"",CN10,0)+IF(CQ10&lt;&gt;"",CQ10,0))/(IF(H10&lt;&gt;"",1,0)+IF(K10&lt;&gt;"",1,0)+IF(N10&lt;&gt;"",1,0)+IF(Q10&lt;&gt;"",1,0)+IF(T10&lt;&gt;"",1,0)+IF(W10&lt;&gt;"",1,0)+IF(Z10&lt;&gt;"",1,0)+IF(AC10&lt;&gt;"",1,0)+IF(AF10&lt;&gt;"",1,0)+IF(AI10&lt;&gt;"",1,0)+IF(AL10&lt;&gt;"",1,0)+IF(AO10&lt;&gt;"",1,0)+IF(AR10&lt;&gt;"",1,0)+IF(AU10&lt;&gt;"",1,0)+IF(AX10&lt;&gt;"",1,0)+IF(BA10&lt;&gt;"",1,0)+IF(BD10&lt;&gt;"",1,0)+IF(BG10&lt;&gt;"",1,0)+IF(BJ10&lt;&gt;"",1,0)+IF(BM10&lt;&gt;"",1,0)+IF(BP10&lt;&gt;"",1,0)+IF(BS10&lt;&gt;"",1,0)+IF(BV10&lt;&gt;"",1,0)+IF(BY10&lt;&gt;"",1,0)+IF(CB10&lt;&gt;"",1,0)+IF(CE10&lt;&gt;"",1,0)+IF(CH10&lt;&gt;"",1,0)+IF(CK10&lt;&gt;"",1,0)+IF(CN10&lt;&gt;"",1,0)+IF(CQ10&lt;&gt;"",1,0)))</f>
        <v/>
      </c>
      <c r="CV10">
        <f>IF(CT10&gt;=0.7,"Yes","No")</f>
        <v/>
      </c>
    </row>
    <row r="11">
      <c r="A11" s="37" t="inlineStr">
        <is>
          <t>EMP-010</t>
        </is>
      </c>
      <c r="B11" t="inlineStr">
        <is>
          <t>Crystal N. Davis</t>
        </is>
      </c>
      <c r="C11" t="inlineStr">
        <is>
          <t>Senior Agent</t>
        </is>
      </c>
      <c r="D11" s="38" t="n">
        <v>46097</v>
      </c>
      <c r="E11" t="inlineStr">
        <is>
          <t>Final</t>
        </is>
      </c>
      <c r="F11" s="39" t="inlineStr">
        <is>
          <t>Completed</t>
        </is>
      </c>
      <c r="G11" s="38" t="n">
        <v>46099</v>
      </c>
      <c r="H11" s="37" t="n">
        <v>94</v>
      </c>
      <c r="I11" s="39" t="inlineStr">
        <is>
          <t>Completed</t>
        </is>
      </c>
      <c r="J11" s="38" t="n">
        <v>46099</v>
      </c>
      <c r="K11" s="37" t="n">
        <v>90</v>
      </c>
      <c r="L11" s="39" t="inlineStr">
        <is>
          <t>Completed</t>
        </is>
      </c>
      <c r="M11" s="38" t="n">
        <v>46098</v>
      </c>
      <c r="N11" s="37" t="n">
        <v>92</v>
      </c>
      <c r="O11" s="39" t="inlineStr">
        <is>
          <t>Completed</t>
        </is>
      </c>
      <c r="P11" s="38" t="n">
        <v>46104</v>
      </c>
      <c r="Q11" s="37" t="n">
        <v>86</v>
      </c>
      <c r="R11" s="39" t="inlineStr">
        <is>
          <t>Completed</t>
        </is>
      </c>
      <c r="S11" s="38" t="n">
        <v>46105</v>
      </c>
      <c r="T11" s="37" t="n">
        <v>88</v>
      </c>
      <c r="U11" s="39" t="inlineStr">
        <is>
          <t>Completed</t>
        </is>
      </c>
      <c r="V11" s="38" t="n">
        <v>46098</v>
      </c>
      <c r="W11" s="37" t="n">
        <v>90</v>
      </c>
      <c r="X11" s="39" t="inlineStr">
        <is>
          <t>Completed</t>
        </is>
      </c>
      <c r="Y11" s="38" t="n">
        <v>46097</v>
      </c>
      <c r="Z11" s="37" t="n">
        <v>100</v>
      </c>
      <c r="AA11" s="39" t="inlineStr">
        <is>
          <t>Completed</t>
        </is>
      </c>
      <c r="AB11" s="38" t="n">
        <v>46112</v>
      </c>
      <c r="AC11" s="37" t="n">
        <v>84</v>
      </c>
      <c r="AD11" s="39" t="inlineStr">
        <is>
          <t>Completed</t>
        </is>
      </c>
      <c r="AE11" s="38" t="n">
        <v>46104</v>
      </c>
      <c r="AF11" s="37" t="inlineStr"/>
      <c r="AG11" s="39" t="inlineStr">
        <is>
          <t>Completed</t>
        </is>
      </c>
      <c r="AH11" s="38" t="n">
        <v>46105</v>
      </c>
      <c r="AI11" s="37" t="n">
        <v>85</v>
      </c>
      <c r="AJ11" s="39" t="inlineStr">
        <is>
          <t>Completed</t>
        </is>
      </c>
      <c r="AK11" s="38" t="n">
        <v>46122</v>
      </c>
      <c r="AL11" s="37" t="n">
        <v>82</v>
      </c>
      <c r="AM11" s="39" t="inlineStr">
        <is>
          <t>Completed</t>
        </is>
      </c>
      <c r="AN11" s="38" t="n">
        <v>46097</v>
      </c>
      <c r="AO11" s="37" t="n">
        <v>100</v>
      </c>
      <c r="AP11" s="39" t="inlineStr">
        <is>
          <t>Completed</t>
        </is>
      </c>
      <c r="AQ11" s="38" t="n">
        <v>46111</v>
      </c>
      <c r="AR11" s="37" t="n">
        <v>85</v>
      </c>
      <c r="AS11" s="39" t="inlineStr">
        <is>
          <t>Completed</t>
        </is>
      </c>
      <c r="AT11" s="38" t="n">
        <v>46112</v>
      </c>
      <c r="AU11" s="37" t="n">
        <v>84</v>
      </c>
      <c r="AV11" s="39" t="inlineStr">
        <is>
          <t>Completed</t>
        </is>
      </c>
      <c r="AW11" s="38" t="n">
        <v>46103</v>
      </c>
      <c r="AX11" s="37" t="inlineStr"/>
      <c r="AY11" s="39" t="inlineStr">
        <is>
          <t>Completed</t>
        </is>
      </c>
      <c r="AZ11" s="38" t="n">
        <v>46113</v>
      </c>
      <c r="BA11" s="37" t="n">
        <v>88</v>
      </c>
      <c r="BB11" s="43" t="inlineStr">
        <is>
          <t>In Progress</t>
        </is>
      </c>
      <c r="BC11" s="38" t="inlineStr"/>
      <c r="BD11" s="37" t="inlineStr"/>
      <c r="BE11" s="39" t="inlineStr">
        <is>
          <t>Completed</t>
        </is>
      </c>
      <c r="BF11" s="38" t="n">
        <v>46097</v>
      </c>
      <c r="BG11" s="37" t="inlineStr"/>
      <c r="BH11" s="39" t="inlineStr">
        <is>
          <t>Completed</t>
        </is>
      </c>
      <c r="BI11" s="38" t="n">
        <v>46115</v>
      </c>
      <c r="BJ11" s="37" t="n">
        <v>85</v>
      </c>
      <c r="BK11" s="43" t="inlineStr">
        <is>
          <t>In Progress</t>
        </is>
      </c>
      <c r="BL11" s="38" t="inlineStr"/>
      <c r="BM11" s="37" t="inlineStr"/>
      <c r="BN11" s="39" t="inlineStr">
        <is>
          <t>Completed</t>
        </is>
      </c>
      <c r="BO11" s="38" t="n">
        <v>46115</v>
      </c>
      <c r="BP11" s="37" t="n">
        <v>82</v>
      </c>
      <c r="BQ11" s="39" t="inlineStr">
        <is>
          <t>Completed</t>
        </is>
      </c>
      <c r="BR11" s="38" t="n">
        <v>46104</v>
      </c>
      <c r="BS11" s="37" t="n">
        <v>84</v>
      </c>
      <c r="BT11" s="39" t="inlineStr">
        <is>
          <t>Completed</t>
        </is>
      </c>
      <c r="BU11" s="38" t="n">
        <v>46114</v>
      </c>
      <c r="BV11" s="37" t="n">
        <v>86</v>
      </c>
      <c r="BW11" s="40" t="inlineStr">
        <is>
          <t>Exempt</t>
        </is>
      </c>
      <c r="BX11" s="38" t="inlineStr"/>
      <c r="BY11" s="37" t="inlineStr"/>
      <c r="BZ11" s="43" t="inlineStr">
        <is>
          <t>In Progress</t>
        </is>
      </c>
      <c r="CA11" s="38" t="inlineStr"/>
      <c r="CB11" s="37" t="inlineStr"/>
      <c r="CC11" s="43" t="inlineStr">
        <is>
          <t>In Progress</t>
        </is>
      </c>
      <c r="CD11" s="38" t="inlineStr"/>
      <c r="CE11" s="37" t="inlineStr"/>
      <c r="CF11" s="40" t="inlineStr">
        <is>
          <t>Exempt</t>
        </is>
      </c>
      <c r="CG11" s="38" t="inlineStr"/>
      <c r="CH11" s="37" t="inlineStr"/>
      <c r="CI11" s="40" t="inlineStr">
        <is>
          <t>Exempt</t>
        </is>
      </c>
      <c r="CJ11" s="38" t="inlineStr"/>
      <c r="CK11" s="37" t="inlineStr"/>
      <c r="CL11" s="40" t="inlineStr">
        <is>
          <t>Exempt</t>
        </is>
      </c>
      <c r="CM11" s="38" t="inlineStr"/>
      <c r="CN11" s="37" t="inlineStr"/>
      <c r="CO11" s="40" t="inlineStr">
        <is>
          <t>Exempt</t>
        </is>
      </c>
      <c r="CP11" s="38" t="inlineStr"/>
      <c r="CQ11" s="37" t="inlineStr"/>
      <c r="CR11">
        <f>IF(OR(F11="Completed",F11="In Progress",F11="Not Started",F11="Failed"),1,0)+IF(OR(I11="Completed",I11="In Progress",I11="Not Started",I11="Failed"),1,0)+IF(OR(L11="Completed",L11="In Progress",L11="Not Started",L11="Failed"),1,0)+IF(OR(O11="Completed",O11="In Progress",O11="Not Started",O11="Failed"),1,0)+IF(OR(R11="Completed",R11="In Progress",R11="Not Started",R11="Failed"),1,0)+IF(OR(U11="Completed",U11="In Progress",U11="Not Started",U11="Failed"),1,0)+IF(OR(X11="Completed",X11="In Progress",X11="Not Started",X11="Failed"),1,0)+IF(OR(AA11="Completed",AA11="In Progress",AA11="Not Started",AA11="Failed"),1,0)+IF(OR(AD11="Completed",AD11="In Progress",AD11="Not Started",AD11="Failed"),1,0)+IF(OR(AG11="Completed",AG11="In Progress",AG11="Not Started",AG11="Failed"),1,0)+IF(OR(AJ11="Completed",AJ11="In Progress",AJ11="Not Started",AJ11="Failed"),1,0)+IF(OR(AM11="Completed",AM11="In Progress",AM11="Not Started",AM11="Failed"),1,0)+IF(OR(AP11="Completed",AP11="In Progress",AP11="Not Started",AP11="Failed"),1,0)+IF(OR(AS11="Completed",AS11="In Progress",AS11="Not Started",AS11="Failed"),1,0)+IF(OR(AV11="Completed",AV11="In Progress",AV11="Not Started",AV11="Failed"),1,0)+IF(OR(AY11="Completed",AY11="In Progress",AY11="Not Started",AY11="Failed"),1,0)+IF(OR(BB11="Completed",BB11="In Progress",BB11="Not Started",BB11="Failed"),1,0)+IF(OR(BE11="Completed",BE11="In Progress",BE11="Not Started",BE11="Failed"),1,0)+IF(OR(BH11="Completed",BH11="In Progress",BH11="Not Started",BH11="Failed"),1,0)+IF(OR(BK11="Completed",BK11="In Progress",BK11="Not Started",BK11="Failed"),1,0)+IF(OR(BN11="Completed",BN11="In Progress",BN11="Not Started",BN11="Failed"),1,0)+IF(OR(BQ11="Completed",BQ11="In Progress",BQ11="Not Started",BQ11="Failed"),1,0)+IF(OR(BT11="Completed",BT11="In Progress",BT11="Not Started",BT11="Failed"),1,0)+IF(OR(BW11="Completed",BW11="In Progress",BW11="Not Started",BW11="Failed"),1,0)+IF(OR(BZ11="Completed",BZ11="In Progress",BZ11="Not Started",BZ11="Failed"),1,0)+IF(OR(CC11="Completed",CC11="In Progress",CC11="Not Started",CC11="Failed"),1,0)+IF(OR(CF11="Completed",CF11="In Progress",CF11="Not Started",CF11="Failed"),1,0)+IF(OR(CI11="Completed",CI11="In Progress",CI11="Not Started",CI11="Failed"),1,0)+IF(OR(CL11="Completed",CL11="In Progress",CL11="Not Started",CL11="Failed"),1,0)+IF(OR(CO11="Completed",CO11="In Progress",CO11="Not Started",CO11="Failed"),1,0)</f>
        <v/>
      </c>
      <c r="CS11">
        <f>IF(F11="Completed",1,0)+IF(I11="Completed",1,0)+IF(L11="Completed",1,0)+IF(O11="Completed",1,0)+IF(R11="Completed",1,0)+IF(U11="Completed",1,0)+IF(X11="Completed",1,0)+IF(AA11="Completed",1,0)+IF(AD11="Completed",1,0)+IF(AG11="Completed",1,0)+IF(AJ11="Completed",1,0)+IF(AM11="Completed",1,0)+IF(AP11="Completed",1,0)+IF(AS11="Completed",1,0)+IF(AV11="Completed",1,0)+IF(AY11="Completed",1,0)+IF(BB11="Completed",1,0)+IF(BE11="Completed",1,0)+IF(BH11="Completed",1,0)+IF(BK11="Completed",1,0)+IF(BN11="Completed",1,0)+IF(BQ11="Completed",1,0)+IF(BT11="Completed",1,0)+IF(BW11="Completed",1,0)+IF(BZ11="Completed",1,0)+IF(CC11="Completed",1,0)+IF(CF11="Completed",1,0)+IF(CI11="Completed",1,0)+IF(CL11="Completed",1,0)+IF(CO11="Completed",1,0)</f>
        <v/>
      </c>
      <c r="CT11" s="41">
        <f>IF(CR11=0,0,CS11/CR11)</f>
        <v/>
      </c>
      <c r="CU11" s="42">
        <f>IF((IF(H11&lt;&gt;"",1,0)+IF(K11&lt;&gt;"",1,0)+IF(N11&lt;&gt;"",1,0)+IF(Q11&lt;&gt;"",1,0)+IF(T11&lt;&gt;"",1,0)+IF(W11&lt;&gt;"",1,0)+IF(Z11&lt;&gt;"",1,0)+IF(AC11&lt;&gt;"",1,0)+IF(AF11&lt;&gt;"",1,0)+IF(AI11&lt;&gt;"",1,0)+IF(AL11&lt;&gt;"",1,0)+IF(AO11&lt;&gt;"",1,0)+IF(AR11&lt;&gt;"",1,0)+IF(AU11&lt;&gt;"",1,0)+IF(AX11&lt;&gt;"",1,0)+IF(BA11&lt;&gt;"",1,0)+IF(BD11&lt;&gt;"",1,0)+IF(BG11&lt;&gt;"",1,0)+IF(BJ11&lt;&gt;"",1,0)+IF(BM11&lt;&gt;"",1,0)+IF(BP11&lt;&gt;"",1,0)+IF(BS11&lt;&gt;"",1,0)+IF(BV11&lt;&gt;"",1,0)+IF(BY11&lt;&gt;"",1,0)+IF(CB11&lt;&gt;"",1,0)+IF(CE11&lt;&gt;"",1,0)+IF(CH11&lt;&gt;"",1,0)+IF(CK11&lt;&gt;"",1,0)+IF(CN11&lt;&gt;"",1,0)+IF(CQ11&lt;&gt;"",1,0))=0,0,(IF(H11&lt;&gt;"",H11,0)+IF(K11&lt;&gt;"",K11,0)+IF(N11&lt;&gt;"",N11,0)+IF(Q11&lt;&gt;"",Q11,0)+IF(T11&lt;&gt;"",T11,0)+IF(W11&lt;&gt;"",W11,0)+IF(Z11&lt;&gt;"",Z11,0)+IF(AC11&lt;&gt;"",AC11,0)+IF(AF11&lt;&gt;"",AF11,0)+IF(AI11&lt;&gt;"",AI11,0)+IF(AL11&lt;&gt;"",AL11,0)+IF(AO11&lt;&gt;"",AO11,0)+IF(AR11&lt;&gt;"",AR11,0)+IF(AU11&lt;&gt;"",AU11,0)+IF(AX11&lt;&gt;"",AX11,0)+IF(BA11&lt;&gt;"",BA11,0)+IF(BD11&lt;&gt;"",BD11,0)+IF(BG11&lt;&gt;"",BG11,0)+IF(BJ11&lt;&gt;"",BJ11,0)+IF(BM11&lt;&gt;"",BM11,0)+IF(BP11&lt;&gt;"",BP11,0)+IF(BS11&lt;&gt;"",BS11,0)+IF(BV11&lt;&gt;"",BV11,0)+IF(BY11&lt;&gt;"",BY11,0)+IF(CB11&lt;&gt;"",CB11,0)+IF(CE11&lt;&gt;"",CE11,0)+IF(CH11&lt;&gt;"",CH11,0)+IF(CK11&lt;&gt;"",CK11,0)+IF(CN11&lt;&gt;"",CN11,0)+IF(CQ11&lt;&gt;"",CQ11,0))/(IF(H11&lt;&gt;"",1,0)+IF(K11&lt;&gt;"",1,0)+IF(N11&lt;&gt;"",1,0)+IF(Q11&lt;&gt;"",1,0)+IF(T11&lt;&gt;"",1,0)+IF(W11&lt;&gt;"",1,0)+IF(Z11&lt;&gt;"",1,0)+IF(AC11&lt;&gt;"",1,0)+IF(AF11&lt;&gt;"",1,0)+IF(AI11&lt;&gt;"",1,0)+IF(AL11&lt;&gt;"",1,0)+IF(AO11&lt;&gt;"",1,0)+IF(AR11&lt;&gt;"",1,0)+IF(AU11&lt;&gt;"",1,0)+IF(AX11&lt;&gt;"",1,0)+IF(BA11&lt;&gt;"",1,0)+IF(BD11&lt;&gt;"",1,0)+IF(BG11&lt;&gt;"",1,0)+IF(BJ11&lt;&gt;"",1,0)+IF(BM11&lt;&gt;"",1,0)+IF(BP11&lt;&gt;"",1,0)+IF(BS11&lt;&gt;"",1,0)+IF(BV11&lt;&gt;"",1,0)+IF(BY11&lt;&gt;"",1,0)+IF(CB11&lt;&gt;"",1,0)+IF(CE11&lt;&gt;"",1,0)+IF(CH11&lt;&gt;"",1,0)+IF(CK11&lt;&gt;"",1,0)+IF(CN11&lt;&gt;"",1,0)+IF(CQ11&lt;&gt;"",1,0)))</f>
        <v/>
      </c>
      <c r="CV11">
        <f>IF(CT11&gt;=0.7,"Yes","No")</f>
        <v/>
      </c>
    </row>
    <row r="12">
      <c r="A12" s="37" t="inlineStr">
        <is>
          <t>EMP-011</t>
        </is>
      </c>
      <c r="B12" t="inlineStr">
        <is>
          <t>Anthony F. Nguyen</t>
        </is>
      </c>
      <c r="C12" t="inlineStr">
        <is>
          <t>Agent</t>
        </is>
      </c>
      <c r="D12" s="38" t="n">
        <v>46104</v>
      </c>
      <c r="E12" t="inlineStr">
        <is>
          <t>Interim</t>
        </is>
      </c>
      <c r="F12" s="39" t="inlineStr">
        <is>
          <t>Completed</t>
        </is>
      </c>
      <c r="G12" s="38" t="n">
        <v>46107</v>
      </c>
      <c r="H12" s="37" t="n">
        <v>88</v>
      </c>
      <c r="I12" s="39" t="inlineStr">
        <is>
          <t>Completed</t>
        </is>
      </c>
      <c r="J12" s="38" t="n">
        <v>46107</v>
      </c>
      <c r="K12" s="37" t="n">
        <v>84</v>
      </c>
      <c r="L12" s="39" t="inlineStr">
        <is>
          <t>Completed</t>
        </is>
      </c>
      <c r="M12" s="38" t="n">
        <v>46106</v>
      </c>
      <c r="N12" s="37" t="n">
        <v>86</v>
      </c>
      <c r="O12" s="39" t="inlineStr">
        <is>
          <t>Completed</t>
        </is>
      </c>
      <c r="P12" s="38" t="n">
        <v>46112</v>
      </c>
      <c r="Q12" s="37" t="n">
        <v>80</v>
      </c>
      <c r="R12" s="43" t="inlineStr">
        <is>
          <t>In Progress</t>
        </is>
      </c>
      <c r="S12" s="38" t="inlineStr"/>
      <c r="T12" s="37" t="inlineStr"/>
      <c r="U12" s="39" t="inlineStr">
        <is>
          <t>Completed</t>
        </is>
      </c>
      <c r="V12" s="38" t="n">
        <v>46106</v>
      </c>
      <c r="W12" s="37" t="n">
        <v>84</v>
      </c>
      <c r="X12" s="39" t="inlineStr">
        <is>
          <t>Completed</t>
        </is>
      </c>
      <c r="Y12" s="38" t="n">
        <v>46105</v>
      </c>
      <c r="Z12" s="37" t="n">
        <v>100</v>
      </c>
      <c r="AA12" s="43" t="inlineStr">
        <is>
          <t>In Progress</t>
        </is>
      </c>
      <c r="AB12" s="38" t="inlineStr"/>
      <c r="AC12" s="37" t="inlineStr"/>
      <c r="AD12" s="39" t="inlineStr">
        <is>
          <t>Completed</t>
        </is>
      </c>
      <c r="AE12" s="38" t="n">
        <v>46112</v>
      </c>
      <c r="AF12" s="37" t="inlineStr"/>
      <c r="AG12" s="43" t="inlineStr">
        <is>
          <t>In Progress</t>
        </is>
      </c>
      <c r="AH12" s="38" t="inlineStr"/>
      <c r="AI12" s="37" t="inlineStr"/>
      <c r="AJ12" s="40" t="inlineStr">
        <is>
          <t>Exempt</t>
        </is>
      </c>
      <c r="AK12" s="38" t="inlineStr"/>
      <c r="AL12" s="37" t="inlineStr"/>
      <c r="AM12" s="39" t="inlineStr">
        <is>
          <t>Completed</t>
        </is>
      </c>
      <c r="AN12" s="38" t="n">
        <v>46105</v>
      </c>
      <c r="AO12" s="37" t="n">
        <v>100</v>
      </c>
      <c r="AP12" s="43" t="inlineStr">
        <is>
          <t>In Progress</t>
        </is>
      </c>
      <c r="AQ12" s="38" t="inlineStr"/>
      <c r="AR12" s="37" t="inlineStr"/>
      <c r="AS12" s="44" t="inlineStr">
        <is>
          <t>Not Started</t>
        </is>
      </c>
      <c r="AT12" s="38" t="inlineStr"/>
      <c r="AU12" s="37" t="inlineStr"/>
      <c r="AV12" s="39" t="inlineStr">
        <is>
          <t>Completed</t>
        </is>
      </c>
      <c r="AW12" s="38" t="n">
        <v>46111</v>
      </c>
      <c r="AX12" s="37" t="inlineStr"/>
      <c r="AY12" s="44" t="inlineStr">
        <is>
          <t>Not Started</t>
        </is>
      </c>
      <c r="AZ12" s="38" t="inlineStr"/>
      <c r="BA12" s="37" t="inlineStr"/>
      <c r="BB12" s="44" t="inlineStr">
        <is>
          <t>Not Started</t>
        </is>
      </c>
      <c r="BC12" s="38" t="inlineStr"/>
      <c r="BD12" s="37" t="inlineStr"/>
      <c r="BE12" s="39" t="inlineStr">
        <is>
          <t>Completed</t>
        </is>
      </c>
      <c r="BF12" s="38" t="n">
        <v>46105</v>
      </c>
      <c r="BG12" s="37" t="inlineStr"/>
      <c r="BH12" s="44" t="inlineStr">
        <is>
          <t>Not Started</t>
        </is>
      </c>
      <c r="BI12" s="38" t="inlineStr"/>
      <c r="BJ12" s="37" t="inlineStr"/>
      <c r="BK12" s="44" t="inlineStr">
        <is>
          <t>Not Started</t>
        </is>
      </c>
      <c r="BL12" s="38" t="inlineStr"/>
      <c r="BM12" s="37" t="inlineStr"/>
      <c r="BN12" s="44" t="inlineStr">
        <is>
          <t>Not Started</t>
        </is>
      </c>
      <c r="BO12" s="38" t="inlineStr"/>
      <c r="BP12" s="37" t="inlineStr"/>
      <c r="BQ12" s="43" t="inlineStr">
        <is>
          <t>In Progress</t>
        </is>
      </c>
      <c r="BR12" s="38" t="inlineStr"/>
      <c r="BS12" s="37" t="inlineStr"/>
      <c r="BT12" s="44" t="inlineStr">
        <is>
          <t>Not Started</t>
        </is>
      </c>
      <c r="BU12" s="38" t="inlineStr"/>
      <c r="BV12" s="37" t="inlineStr"/>
      <c r="BW12" s="40" t="inlineStr">
        <is>
          <t>Exempt</t>
        </is>
      </c>
      <c r="BX12" s="38" t="inlineStr"/>
      <c r="BY12" s="37" t="inlineStr"/>
      <c r="BZ12" s="44" t="inlineStr">
        <is>
          <t>Not Started</t>
        </is>
      </c>
      <c r="CA12" s="38" t="inlineStr"/>
      <c r="CB12" s="37" t="inlineStr"/>
      <c r="CC12" s="40" t="inlineStr">
        <is>
          <t>Exempt</t>
        </is>
      </c>
      <c r="CD12" s="38" t="inlineStr"/>
      <c r="CE12" s="37" t="inlineStr"/>
      <c r="CF12" s="40" t="inlineStr">
        <is>
          <t>Exempt</t>
        </is>
      </c>
      <c r="CG12" s="38" t="inlineStr"/>
      <c r="CH12" s="37" t="inlineStr"/>
      <c r="CI12" s="40" t="inlineStr">
        <is>
          <t>Exempt</t>
        </is>
      </c>
      <c r="CJ12" s="38" t="inlineStr"/>
      <c r="CK12" s="37" t="inlineStr"/>
      <c r="CL12" s="40" t="inlineStr">
        <is>
          <t>Exempt</t>
        </is>
      </c>
      <c r="CM12" s="38" t="inlineStr"/>
      <c r="CN12" s="37" t="inlineStr"/>
      <c r="CO12" s="40" t="inlineStr">
        <is>
          <t>Exempt</t>
        </is>
      </c>
      <c r="CP12" s="38" t="inlineStr"/>
      <c r="CQ12" s="37" t="inlineStr"/>
      <c r="CR12">
        <f>IF(OR(F12="Completed",F12="In Progress",F12="Not Started",F12="Failed"),1,0)+IF(OR(I12="Completed",I12="In Progress",I12="Not Started",I12="Failed"),1,0)+IF(OR(L12="Completed",L12="In Progress",L12="Not Started",L12="Failed"),1,0)+IF(OR(O12="Completed",O12="In Progress",O12="Not Started",O12="Failed"),1,0)+IF(OR(R12="Completed",R12="In Progress",R12="Not Started",R12="Failed"),1,0)+IF(OR(U12="Completed",U12="In Progress",U12="Not Started",U12="Failed"),1,0)+IF(OR(X12="Completed",X12="In Progress",X12="Not Started",X12="Failed"),1,0)+IF(OR(AA12="Completed",AA12="In Progress",AA12="Not Started",AA12="Failed"),1,0)+IF(OR(AD12="Completed",AD12="In Progress",AD12="Not Started",AD12="Failed"),1,0)+IF(OR(AG12="Completed",AG12="In Progress",AG12="Not Started",AG12="Failed"),1,0)+IF(OR(AJ12="Completed",AJ12="In Progress",AJ12="Not Started",AJ12="Failed"),1,0)+IF(OR(AM12="Completed",AM12="In Progress",AM12="Not Started",AM12="Failed"),1,0)+IF(OR(AP12="Completed",AP12="In Progress",AP12="Not Started",AP12="Failed"),1,0)+IF(OR(AS12="Completed",AS12="In Progress",AS12="Not Started",AS12="Failed"),1,0)+IF(OR(AV12="Completed",AV12="In Progress",AV12="Not Started",AV12="Failed"),1,0)+IF(OR(AY12="Completed",AY12="In Progress",AY12="Not Started",AY12="Failed"),1,0)+IF(OR(BB12="Completed",BB12="In Progress",BB12="Not Started",BB12="Failed"),1,0)+IF(OR(BE12="Completed",BE12="In Progress",BE12="Not Started",BE12="Failed"),1,0)+IF(OR(BH12="Completed",BH12="In Progress",BH12="Not Started",BH12="Failed"),1,0)+IF(OR(BK12="Completed",BK12="In Progress",BK12="Not Started",BK12="Failed"),1,0)+IF(OR(BN12="Completed",BN12="In Progress",BN12="Not Started",BN12="Failed"),1,0)+IF(OR(BQ12="Completed",BQ12="In Progress",BQ12="Not Started",BQ12="Failed"),1,0)+IF(OR(BT12="Completed",BT12="In Progress",BT12="Not Started",BT12="Failed"),1,0)+IF(OR(BW12="Completed",BW12="In Progress",BW12="Not Started",BW12="Failed"),1,0)+IF(OR(BZ12="Completed",BZ12="In Progress",BZ12="Not Started",BZ12="Failed"),1,0)+IF(OR(CC12="Completed",CC12="In Progress",CC12="Not Started",CC12="Failed"),1,0)+IF(OR(CF12="Completed",CF12="In Progress",CF12="Not Started",CF12="Failed"),1,0)+IF(OR(CI12="Completed",CI12="In Progress",CI12="Not Started",CI12="Failed"),1,0)+IF(OR(CL12="Completed",CL12="In Progress",CL12="Not Started",CL12="Failed"),1,0)+IF(OR(CO12="Completed",CO12="In Progress",CO12="Not Started",CO12="Failed"),1,0)</f>
        <v/>
      </c>
      <c r="CS12">
        <f>IF(F12="Completed",1,0)+IF(I12="Completed",1,0)+IF(L12="Completed",1,0)+IF(O12="Completed",1,0)+IF(R12="Completed",1,0)+IF(U12="Completed",1,0)+IF(X12="Completed",1,0)+IF(AA12="Completed",1,0)+IF(AD12="Completed",1,0)+IF(AG12="Completed",1,0)+IF(AJ12="Completed",1,0)+IF(AM12="Completed",1,0)+IF(AP12="Completed",1,0)+IF(AS12="Completed",1,0)+IF(AV12="Completed",1,0)+IF(AY12="Completed",1,0)+IF(BB12="Completed",1,0)+IF(BE12="Completed",1,0)+IF(BH12="Completed",1,0)+IF(BK12="Completed",1,0)+IF(BN12="Completed",1,0)+IF(BQ12="Completed",1,0)+IF(BT12="Completed",1,0)+IF(BW12="Completed",1,0)+IF(BZ12="Completed",1,0)+IF(CC12="Completed",1,0)+IF(CF12="Completed",1,0)+IF(CI12="Completed",1,0)+IF(CL12="Completed",1,0)+IF(CO12="Completed",1,0)</f>
        <v/>
      </c>
      <c r="CT12" s="41">
        <f>IF(CR12=0,0,CS12/CR12)</f>
        <v/>
      </c>
      <c r="CU12" s="42">
        <f>IF((IF(H12&lt;&gt;"",1,0)+IF(K12&lt;&gt;"",1,0)+IF(N12&lt;&gt;"",1,0)+IF(Q12&lt;&gt;"",1,0)+IF(T12&lt;&gt;"",1,0)+IF(W12&lt;&gt;"",1,0)+IF(Z12&lt;&gt;"",1,0)+IF(AC12&lt;&gt;"",1,0)+IF(AF12&lt;&gt;"",1,0)+IF(AI12&lt;&gt;"",1,0)+IF(AL12&lt;&gt;"",1,0)+IF(AO12&lt;&gt;"",1,0)+IF(AR12&lt;&gt;"",1,0)+IF(AU12&lt;&gt;"",1,0)+IF(AX12&lt;&gt;"",1,0)+IF(BA12&lt;&gt;"",1,0)+IF(BD12&lt;&gt;"",1,0)+IF(BG12&lt;&gt;"",1,0)+IF(BJ12&lt;&gt;"",1,0)+IF(BM12&lt;&gt;"",1,0)+IF(BP12&lt;&gt;"",1,0)+IF(BS12&lt;&gt;"",1,0)+IF(BV12&lt;&gt;"",1,0)+IF(BY12&lt;&gt;"",1,0)+IF(CB12&lt;&gt;"",1,0)+IF(CE12&lt;&gt;"",1,0)+IF(CH12&lt;&gt;"",1,0)+IF(CK12&lt;&gt;"",1,0)+IF(CN12&lt;&gt;"",1,0)+IF(CQ12&lt;&gt;"",1,0))=0,0,(IF(H12&lt;&gt;"",H12,0)+IF(K12&lt;&gt;"",K12,0)+IF(N12&lt;&gt;"",N12,0)+IF(Q12&lt;&gt;"",Q12,0)+IF(T12&lt;&gt;"",T12,0)+IF(W12&lt;&gt;"",W12,0)+IF(Z12&lt;&gt;"",Z12,0)+IF(AC12&lt;&gt;"",AC12,0)+IF(AF12&lt;&gt;"",AF12,0)+IF(AI12&lt;&gt;"",AI12,0)+IF(AL12&lt;&gt;"",AL12,0)+IF(AO12&lt;&gt;"",AO12,0)+IF(AR12&lt;&gt;"",AR12,0)+IF(AU12&lt;&gt;"",AU12,0)+IF(AX12&lt;&gt;"",AX12,0)+IF(BA12&lt;&gt;"",BA12,0)+IF(BD12&lt;&gt;"",BD12,0)+IF(BG12&lt;&gt;"",BG12,0)+IF(BJ12&lt;&gt;"",BJ12,0)+IF(BM12&lt;&gt;"",BM12,0)+IF(BP12&lt;&gt;"",BP12,0)+IF(BS12&lt;&gt;"",BS12,0)+IF(BV12&lt;&gt;"",BV12,0)+IF(BY12&lt;&gt;"",BY12,0)+IF(CB12&lt;&gt;"",CB12,0)+IF(CE12&lt;&gt;"",CE12,0)+IF(CH12&lt;&gt;"",CH12,0)+IF(CK12&lt;&gt;"",CK12,0)+IF(CN12&lt;&gt;"",CN12,0)+IF(CQ12&lt;&gt;"",CQ12,0))/(IF(H12&lt;&gt;"",1,0)+IF(K12&lt;&gt;"",1,0)+IF(N12&lt;&gt;"",1,0)+IF(Q12&lt;&gt;"",1,0)+IF(T12&lt;&gt;"",1,0)+IF(W12&lt;&gt;"",1,0)+IF(Z12&lt;&gt;"",1,0)+IF(AC12&lt;&gt;"",1,0)+IF(AF12&lt;&gt;"",1,0)+IF(AI12&lt;&gt;"",1,0)+IF(AL12&lt;&gt;"",1,0)+IF(AO12&lt;&gt;"",1,0)+IF(AR12&lt;&gt;"",1,0)+IF(AU12&lt;&gt;"",1,0)+IF(AX12&lt;&gt;"",1,0)+IF(BA12&lt;&gt;"",1,0)+IF(BD12&lt;&gt;"",1,0)+IF(BG12&lt;&gt;"",1,0)+IF(BJ12&lt;&gt;"",1,0)+IF(BM12&lt;&gt;"",1,0)+IF(BP12&lt;&gt;"",1,0)+IF(BS12&lt;&gt;"",1,0)+IF(BV12&lt;&gt;"",1,0)+IF(BY12&lt;&gt;"",1,0)+IF(CB12&lt;&gt;"",1,0)+IF(CE12&lt;&gt;"",1,0)+IF(CH12&lt;&gt;"",1,0)+IF(CK12&lt;&gt;"",1,0)+IF(CN12&lt;&gt;"",1,0)+IF(CQ12&lt;&gt;"",1,0)))</f>
        <v/>
      </c>
      <c r="CV12">
        <f>IF(CT12&gt;=0.7,"Yes","No")</f>
        <v/>
      </c>
    </row>
    <row r="13">
      <c r="A13" s="37" t="inlineStr">
        <is>
          <t>EMP-012</t>
        </is>
      </c>
      <c r="B13" t="inlineStr">
        <is>
          <t>Michelle R. Johnson</t>
        </is>
      </c>
      <c r="C13" t="inlineStr">
        <is>
          <t>Agent</t>
        </is>
      </c>
      <c r="D13" s="38" t="n">
        <v>46104</v>
      </c>
      <c r="E13" t="inlineStr">
        <is>
          <t>Final</t>
        </is>
      </c>
      <c r="F13" s="39" t="inlineStr">
        <is>
          <t>Completed</t>
        </is>
      </c>
      <c r="G13" s="38" t="n">
        <v>46106</v>
      </c>
      <c r="H13" s="37" t="n">
        <v>90</v>
      </c>
      <c r="I13" s="39" t="inlineStr">
        <is>
          <t>Completed</t>
        </is>
      </c>
      <c r="J13" s="38" t="n">
        <v>46106</v>
      </c>
      <c r="K13" s="37" t="n">
        <v>86</v>
      </c>
      <c r="L13" s="39" t="inlineStr">
        <is>
          <t>Completed</t>
        </is>
      </c>
      <c r="M13" s="38" t="n">
        <v>46105</v>
      </c>
      <c r="N13" s="37" t="n">
        <v>88</v>
      </c>
      <c r="O13" s="39" t="inlineStr">
        <is>
          <t>Completed</t>
        </is>
      </c>
      <c r="P13" s="38" t="n">
        <v>46111</v>
      </c>
      <c r="Q13" s="37" t="n">
        <v>82</v>
      </c>
      <c r="R13" s="39" t="inlineStr">
        <is>
          <t>Completed</t>
        </is>
      </c>
      <c r="S13" s="38" t="n">
        <v>46112</v>
      </c>
      <c r="T13" s="37" t="n">
        <v>84</v>
      </c>
      <c r="U13" s="39" t="inlineStr">
        <is>
          <t>Completed</t>
        </is>
      </c>
      <c r="V13" s="38" t="n">
        <v>46105</v>
      </c>
      <c r="W13" s="37" t="n">
        <v>86</v>
      </c>
      <c r="X13" s="39" t="inlineStr">
        <is>
          <t>Completed</t>
        </is>
      </c>
      <c r="Y13" s="38" t="n">
        <v>46104</v>
      </c>
      <c r="Z13" s="37" t="n">
        <v>100</v>
      </c>
      <c r="AA13" s="43" t="inlineStr">
        <is>
          <t>In Progress</t>
        </is>
      </c>
      <c r="AB13" s="38" t="inlineStr"/>
      <c r="AC13" s="37" t="inlineStr"/>
      <c r="AD13" s="39" t="inlineStr">
        <is>
          <t>Completed</t>
        </is>
      </c>
      <c r="AE13" s="38" t="n">
        <v>46111</v>
      </c>
      <c r="AF13" s="37" t="inlineStr"/>
      <c r="AG13" s="39" t="inlineStr">
        <is>
          <t>Completed</t>
        </is>
      </c>
      <c r="AH13" s="38" t="n">
        <v>46112</v>
      </c>
      <c r="AI13" s="37" t="n">
        <v>82</v>
      </c>
      <c r="AJ13" s="40" t="inlineStr">
        <is>
          <t>Exempt</t>
        </is>
      </c>
      <c r="AK13" s="38" t="inlineStr"/>
      <c r="AL13" s="37" t="inlineStr"/>
      <c r="AM13" s="39" t="inlineStr">
        <is>
          <t>Completed</t>
        </is>
      </c>
      <c r="AN13" s="38" t="n">
        <v>46104</v>
      </c>
      <c r="AO13" s="37" t="n">
        <v>100</v>
      </c>
      <c r="AP13" s="39" t="inlineStr">
        <is>
          <t>Completed</t>
        </is>
      </c>
      <c r="AQ13" s="38" t="n">
        <v>46118</v>
      </c>
      <c r="AR13" s="37" t="n">
        <v>82</v>
      </c>
      <c r="AS13" s="43" t="inlineStr">
        <is>
          <t>In Progress</t>
        </is>
      </c>
      <c r="AT13" s="38" t="inlineStr"/>
      <c r="AU13" s="37" t="inlineStr"/>
      <c r="AV13" s="39" t="inlineStr">
        <is>
          <t>Completed</t>
        </is>
      </c>
      <c r="AW13" s="38" t="n">
        <v>46110</v>
      </c>
      <c r="AX13" s="37" t="inlineStr"/>
      <c r="AY13" s="44" t="inlineStr">
        <is>
          <t>Not Started</t>
        </is>
      </c>
      <c r="AZ13" s="38" t="inlineStr"/>
      <c r="BA13" s="37" t="inlineStr"/>
      <c r="BB13" s="44" t="inlineStr">
        <is>
          <t>Not Started</t>
        </is>
      </c>
      <c r="BC13" s="38" t="inlineStr"/>
      <c r="BD13" s="37" t="inlineStr"/>
      <c r="BE13" s="39" t="inlineStr">
        <is>
          <t>Completed</t>
        </is>
      </c>
      <c r="BF13" s="38" t="n">
        <v>46104</v>
      </c>
      <c r="BG13" s="37" t="inlineStr"/>
      <c r="BH13" s="43" t="inlineStr">
        <is>
          <t>In Progress</t>
        </is>
      </c>
      <c r="BI13" s="38" t="inlineStr"/>
      <c r="BJ13" s="37" t="inlineStr"/>
      <c r="BK13" s="44" t="inlineStr">
        <is>
          <t>Not Started</t>
        </is>
      </c>
      <c r="BL13" s="38" t="inlineStr"/>
      <c r="BM13" s="37" t="inlineStr"/>
      <c r="BN13" s="44" t="inlineStr">
        <is>
          <t>Not Started</t>
        </is>
      </c>
      <c r="BO13" s="38" t="inlineStr"/>
      <c r="BP13" s="37" t="inlineStr"/>
      <c r="BQ13" s="39" t="inlineStr">
        <is>
          <t>Completed</t>
        </is>
      </c>
      <c r="BR13" s="38" t="n">
        <v>46111</v>
      </c>
      <c r="BS13" s="37" t="n">
        <v>82</v>
      </c>
      <c r="BT13" s="44" t="inlineStr">
        <is>
          <t>Not Started</t>
        </is>
      </c>
      <c r="BU13" s="38" t="inlineStr"/>
      <c r="BV13" s="37" t="inlineStr"/>
      <c r="BW13" s="40" t="inlineStr">
        <is>
          <t>Exempt</t>
        </is>
      </c>
      <c r="BX13" s="38" t="inlineStr"/>
      <c r="BY13" s="37" t="inlineStr"/>
      <c r="BZ13" s="44" t="inlineStr">
        <is>
          <t>Not Started</t>
        </is>
      </c>
      <c r="CA13" s="38" t="inlineStr"/>
      <c r="CB13" s="37" t="inlineStr"/>
      <c r="CC13" s="40" t="inlineStr">
        <is>
          <t>Exempt</t>
        </is>
      </c>
      <c r="CD13" s="38" t="inlineStr"/>
      <c r="CE13" s="37" t="inlineStr"/>
      <c r="CF13" s="40" t="inlineStr">
        <is>
          <t>Exempt</t>
        </is>
      </c>
      <c r="CG13" s="38" t="inlineStr"/>
      <c r="CH13" s="37" t="inlineStr"/>
      <c r="CI13" s="40" t="inlineStr">
        <is>
          <t>Exempt</t>
        </is>
      </c>
      <c r="CJ13" s="38" t="inlineStr"/>
      <c r="CK13" s="37" t="inlineStr"/>
      <c r="CL13" s="40" t="inlineStr">
        <is>
          <t>Exempt</t>
        </is>
      </c>
      <c r="CM13" s="38" t="inlineStr"/>
      <c r="CN13" s="37" t="inlineStr"/>
      <c r="CO13" s="40" t="inlineStr">
        <is>
          <t>Exempt</t>
        </is>
      </c>
      <c r="CP13" s="38" t="inlineStr"/>
      <c r="CQ13" s="37" t="inlineStr"/>
      <c r="CR13">
        <f>IF(OR(F13="Completed",F13="In Progress",F13="Not Started",F13="Failed"),1,0)+IF(OR(I13="Completed",I13="In Progress",I13="Not Started",I13="Failed"),1,0)+IF(OR(L13="Completed",L13="In Progress",L13="Not Started",L13="Failed"),1,0)+IF(OR(O13="Completed",O13="In Progress",O13="Not Started",O13="Failed"),1,0)+IF(OR(R13="Completed",R13="In Progress",R13="Not Started",R13="Failed"),1,0)+IF(OR(U13="Completed",U13="In Progress",U13="Not Started",U13="Failed"),1,0)+IF(OR(X13="Completed",X13="In Progress",X13="Not Started",X13="Failed"),1,0)+IF(OR(AA13="Completed",AA13="In Progress",AA13="Not Started",AA13="Failed"),1,0)+IF(OR(AD13="Completed",AD13="In Progress",AD13="Not Started",AD13="Failed"),1,0)+IF(OR(AG13="Completed",AG13="In Progress",AG13="Not Started",AG13="Failed"),1,0)+IF(OR(AJ13="Completed",AJ13="In Progress",AJ13="Not Started",AJ13="Failed"),1,0)+IF(OR(AM13="Completed",AM13="In Progress",AM13="Not Started",AM13="Failed"),1,0)+IF(OR(AP13="Completed",AP13="In Progress",AP13="Not Started",AP13="Failed"),1,0)+IF(OR(AS13="Completed",AS13="In Progress",AS13="Not Started",AS13="Failed"),1,0)+IF(OR(AV13="Completed",AV13="In Progress",AV13="Not Started",AV13="Failed"),1,0)+IF(OR(AY13="Completed",AY13="In Progress",AY13="Not Started",AY13="Failed"),1,0)+IF(OR(BB13="Completed",BB13="In Progress",BB13="Not Started",BB13="Failed"),1,0)+IF(OR(BE13="Completed",BE13="In Progress",BE13="Not Started",BE13="Failed"),1,0)+IF(OR(BH13="Completed",BH13="In Progress",BH13="Not Started",BH13="Failed"),1,0)+IF(OR(BK13="Completed",BK13="In Progress",BK13="Not Started",BK13="Failed"),1,0)+IF(OR(BN13="Completed",BN13="In Progress",BN13="Not Started",BN13="Failed"),1,0)+IF(OR(BQ13="Completed",BQ13="In Progress",BQ13="Not Started",BQ13="Failed"),1,0)+IF(OR(BT13="Completed",BT13="In Progress",BT13="Not Started",BT13="Failed"),1,0)+IF(OR(BW13="Completed",BW13="In Progress",BW13="Not Started",BW13="Failed"),1,0)+IF(OR(BZ13="Completed",BZ13="In Progress",BZ13="Not Started",BZ13="Failed"),1,0)+IF(OR(CC13="Completed",CC13="In Progress",CC13="Not Started",CC13="Failed"),1,0)+IF(OR(CF13="Completed",CF13="In Progress",CF13="Not Started",CF13="Failed"),1,0)+IF(OR(CI13="Completed",CI13="In Progress",CI13="Not Started",CI13="Failed"),1,0)+IF(OR(CL13="Completed",CL13="In Progress",CL13="Not Started",CL13="Failed"),1,0)+IF(OR(CO13="Completed",CO13="In Progress",CO13="Not Started",CO13="Failed"),1,0)</f>
        <v/>
      </c>
      <c r="CS13">
        <f>IF(F13="Completed",1,0)+IF(I13="Completed",1,0)+IF(L13="Completed",1,0)+IF(O13="Completed",1,0)+IF(R13="Completed",1,0)+IF(U13="Completed",1,0)+IF(X13="Completed",1,0)+IF(AA13="Completed",1,0)+IF(AD13="Completed",1,0)+IF(AG13="Completed",1,0)+IF(AJ13="Completed",1,0)+IF(AM13="Completed",1,0)+IF(AP13="Completed",1,0)+IF(AS13="Completed",1,0)+IF(AV13="Completed",1,0)+IF(AY13="Completed",1,0)+IF(BB13="Completed",1,0)+IF(BE13="Completed",1,0)+IF(BH13="Completed",1,0)+IF(BK13="Completed",1,0)+IF(BN13="Completed",1,0)+IF(BQ13="Completed",1,0)+IF(BT13="Completed",1,0)+IF(BW13="Completed",1,0)+IF(BZ13="Completed",1,0)+IF(CC13="Completed",1,0)+IF(CF13="Completed",1,0)+IF(CI13="Completed",1,0)+IF(CL13="Completed",1,0)+IF(CO13="Completed",1,0)</f>
        <v/>
      </c>
      <c r="CT13" s="41">
        <f>IF(CR13=0,0,CS13/CR13)</f>
        <v/>
      </c>
      <c r="CU13" s="42">
        <f>IF((IF(H13&lt;&gt;"",1,0)+IF(K13&lt;&gt;"",1,0)+IF(N13&lt;&gt;"",1,0)+IF(Q13&lt;&gt;"",1,0)+IF(T13&lt;&gt;"",1,0)+IF(W13&lt;&gt;"",1,0)+IF(Z13&lt;&gt;"",1,0)+IF(AC13&lt;&gt;"",1,0)+IF(AF13&lt;&gt;"",1,0)+IF(AI13&lt;&gt;"",1,0)+IF(AL13&lt;&gt;"",1,0)+IF(AO13&lt;&gt;"",1,0)+IF(AR13&lt;&gt;"",1,0)+IF(AU13&lt;&gt;"",1,0)+IF(AX13&lt;&gt;"",1,0)+IF(BA13&lt;&gt;"",1,0)+IF(BD13&lt;&gt;"",1,0)+IF(BG13&lt;&gt;"",1,0)+IF(BJ13&lt;&gt;"",1,0)+IF(BM13&lt;&gt;"",1,0)+IF(BP13&lt;&gt;"",1,0)+IF(BS13&lt;&gt;"",1,0)+IF(BV13&lt;&gt;"",1,0)+IF(BY13&lt;&gt;"",1,0)+IF(CB13&lt;&gt;"",1,0)+IF(CE13&lt;&gt;"",1,0)+IF(CH13&lt;&gt;"",1,0)+IF(CK13&lt;&gt;"",1,0)+IF(CN13&lt;&gt;"",1,0)+IF(CQ13&lt;&gt;"",1,0))=0,0,(IF(H13&lt;&gt;"",H13,0)+IF(K13&lt;&gt;"",K13,0)+IF(N13&lt;&gt;"",N13,0)+IF(Q13&lt;&gt;"",Q13,0)+IF(T13&lt;&gt;"",T13,0)+IF(W13&lt;&gt;"",W13,0)+IF(Z13&lt;&gt;"",Z13,0)+IF(AC13&lt;&gt;"",AC13,0)+IF(AF13&lt;&gt;"",AF13,0)+IF(AI13&lt;&gt;"",AI13,0)+IF(AL13&lt;&gt;"",AL13,0)+IF(AO13&lt;&gt;"",AO13,0)+IF(AR13&lt;&gt;"",AR13,0)+IF(AU13&lt;&gt;"",AU13,0)+IF(AX13&lt;&gt;"",AX13,0)+IF(BA13&lt;&gt;"",BA13,0)+IF(BD13&lt;&gt;"",BD13,0)+IF(BG13&lt;&gt;"",BG13,0)+IF(BJ13&lt;&gt;"",BJ13,0)+IF(BM13&lt;&gt;"",BM13,0)+IF(BP13&lt;&gt;"",BP13,0)+IF(BS13&lt;&gt;"",BS13,0)+IF(BV13&lt;&gt;"",BV13,0)+IF(BY13&lt;&gt;"",BY13,0)+IF(CB13&lt;&gt;"",CB13,0)+IF(CE13&lt;&gt;"",CE13,0)+IF(CH13&lt;&gt;"",CH13,0)+IF(CK13&lt;&gt;"",CK13,0)+IF(CN13&lt;&gt;"",CN13,0)+IF(CQ13&lt;&gt;"",CQ13,0))/(IF(H13&lt;&gt;"",1,0)+IF(K13&lt;&gt;"",1,0)+IF(N13&lt;&gt;"",1,0)+IF(Q13&lt;&gt;"",1,0)+IF(T13&lt;&gt;"",1,0)+IF(W13&lt;&gt;"",1,0)+IF(Z13&lt;&gt;"",1,0)+IF(AC13&lt;&gt;"",1,0)+IF(AF13&lt;&gt;"",1,0)+IF(AI13&lt;&gt;"",1,0)+IF(AL13&lt;&gt;"",1,0)+IF(AO13&lt;&gt;"",1,0)+IF(AR13&lt;&gt;"",1,0)+IF(AU13&lt;&gt;"",1,0)+IF(AX13&lt;&gt;"",1,0)+IF(BA13&lt;&gt;"",1,0)+IF(BD13&lt;&gt;"",1,0)+IF(BG13&lt;&gt;"",1,0)+IF(BJ13&lt;&gt;"",1,0)+IF(BM13&lt;&gt;"",1,0)+IF(BP13&lt;&gt;"",1,0)+IF(BS13&lt;&gt;"",1,0)+IF(BV13&lt;&gt;"",1,0)+IF(BY13&lt;&gt;"",1,0)+IF(CB13&lt;&gt;"",1,0)+IF(CE13&lt;&gt;"",1,0)+IF(CH13&lt;&gt;"",1,0)+IF(CK13&lt;&gt;"",1,0)+IF(CN13&lt;&gt;"",1,0)+IF(CQ13&lt;&gt;"",1,0)))</f>
        <v/>
      </c>
      <c r="CV13">
        <f>IF(CT13&gt;=0.7,"Yes","No")</f>
        <v/>
      </c>
    </row>
    <row r="14">
      <c r="A14" s="37" t="inlineStr">
        <is>
          <t>EMP-013</t>
        </is>
      </c>
      <c r="B14" t="inlineStr">
        <is>
          <t>Kevin S. Williams</t>
        </is>
      </c>
      <c r="C14" t="inlineStr">
        <is>
          <t>Team Lead</t>
        </is>
      </c>
      <c r="D14" s="38" t="n">
        <v>46104</v>
      </c>
      <c r="E14" t="inlineStr">
        <is>
          <t>Final</t>
        </is>
      </c>
      <c r="F14" s="39" t="inlineStr">
        <is>
          <t>Completed</t>
        </is>
      </c>
      <c r="G14" s="38" t="n">
        <v>46106</v>
      </c>
      <c r="H14" s="37" t="n">
        <v>92</v>
      </c>
      <c r="I14" s="39" t="inlineStr">
        <is>
          <t>Completed</t>
        </is>
      </c>
      <c r="J14" s="38" t="n">
        <v>46106</v>
      </c>
      <c r="K14" s="37" t="n">
        <v>88</v>
      </c>
      <c r="L14" s="39" t="inlineStr">
        <is>
          <t>Completed</t>
        </is>
      </c>
      <c r="M14" s="38" t="n">
        <v>46105</v>
      </c>
      <c r="N14" s="37" t="n">
        <v>90</v>
      </c>
      <c r="O14" s="39" t="inlineStr">
        <is>
          <t>Completed</t>
        </is>
      </c>
      <c r="P14" s="38" t="n">
        <v>46111</v>
      </c>
      <c r="Q14" s="37" t="n">
        <v>84</v>
      </c>
      <c r="R14" s="39" t="inlineStr">
        <is>
          <t>Completed</t>
        </is>
      </c>
      <c r="S14" s="38" t="n">
        <v>46112</v>
      </c>
      <c r="T14" s="37" t="n">
        <v>86</v>
      </c>
      <c r="U14" s="39" t="inlineStr">
        <is>
          <t>Completed</t>
        </is>
      </c>
      <c r="V14" s="38" t="n">
        <v>46105</v>
      </c>
      <c r="W14" s="37" t="n">
        <v>88</v>
      </c>
      <c r="X14" s="39" t="inlineStr">
        <is>
          <t>Completed</t>
        </is>
      </c>
      <c r="Y14" s="38" t="n">
        <v>46104</v>
      </c>
      <c r="Z14" s="37" t="n">
        <v>100</v>
      </c>
      <c r="AA14" s="40" t="inlineStr">
        <is>
          <t>Exempt</t>
        </is>
      </c>
      <c r="AB14" s="38" t="inlineStr"/>
      <c r="AC14" s="37" t="inlineStr"/>
      <c r="AD14" s="39" t="inlineStr">
        <is>
          <t>Completed</t>
        </is>
      </c>
      <c r="AE14" s="38" t="n">
        <v>46111</v>
      </c>
      <c r="AF14" s="37" t="inlineStr"/>
      <c r="AG14" s="39" t="inlineStr">
        <is>
          <t>Completed</t>
        </is>
      </c>
      <c r="AH14" s="38" t="n">
        <v>46112</v>
      </c>
      <c r="AI14" s="37" t="n">
        <v>84</v>
      </c>
      <c r="AJ14" s="43" t="inlineStr">
        <is>
          <t>In Progress</t>
        </is>
      </c>
      <c r="AK14" s="38" t="inlineStr"/>
      <c r="AL14" s="37" t="inlineStr"/>
      <c r="AM14" s="39" t="inlineStr">
        <is>
          <t>Completed</t>
        </is>
      </c>
      <c r="AN14" s="38" t="n">
        <v>46104</v>
      </c>
      <c r="AO14" s="37" t="n">
        <v>100</v>
      </c>
      <c r="AP14" s="39" t="inlineStr">
        <is>
          <t>Completed</t>
        </is>
      </c>
      <c r="AQ14" s="38" t="n">
        <v>46118</v>
      </c>
      <c r="AR14" s="37" t="n">
        <v>84</v>
      </c>
      <c r="AS14" s="39" t="inlineStr">
        <is>
          <t>Completed</t>
        </is>
      </c>
      <c r="AT14" s="38" t="n">
        <v>46119</v>
      </c>
      <c r="AU14" s="37" t="n">
        <v>82</v>
      </c>
      <c r="AV14" s="39" t="inlineStr">
        <is>
          <t>Completed</t>
        </is>
      </c>
      <c r="AW14" s="38" t="n">
        <v>46110</v>
      </c>
      <c r="AX14" s="37" t="inlineStr"/>
      <c r="AY14" s="43" t="inlineStr">
        <is>
          <t>In Progress</t>
        </is>
      </c>
      <c r="AZ14" s="38" t="inlineStr"/>
      <c r="BA14" s="37" t="inlineStr"/>
      <c r="BB14" s="44" t="inlineStr">
        <is>
          <t>Not Started</t>
        </is>
      </c>
      <c r="BC14" s="38" t="inlineStr"/>
      <c r="BD14" s="37" t="inlineStr"/>
      <c r="BE14" s="39" t="inlineStr">
        <is>
          <t>Completed</t>
        </is>
      </c>
      <c r="BF14" s="38" t="n">
        <v>46104</v>
      </c>
      <c r="BG14" s="37" t="inlineStr"/>
      <c r="BH14" s="40" t="inlineStr">
        <is>
          <t>Exempt</t>
        </is>
      </c>
      <c r="BI14" s="38" t="inlineStr"/>
      <c r="BJ14" s="37" t="inlineStr"/>
      <c r="BK14" s="40" t="inlineStr">
        <is>
          <t>Exempt</t>
        </is>
      </c>
      <c r="BL14" s="38" t="inlineStr"/>
      <c r="BM14" s="37" t="inlineStr"/>
      <c r="BN14" s="40" t="inlineStr">
        <is>
          <t>Exempt</t>
        </is>
      </c>
      <c r="BO14" s="38" t="inlineStr"/>
      <c r="BP14" s="37" t="inlineStr"/>
      <c r="BQ14" s="39" t="inlineStr">
        <is>
          <t>Completed</t>
        </is>
      </c>
      <c r="BR14" s="38" t="n">
        <v>46111</v>
      </c>
      <c r="BS14" s="37" t="n">
        <v>84</v>
      </c>
      <c r="BT14" s="43" t="inlineStr">
        <is>
          <t>In Progress</t>
        </is>
      </c>
      <c r="BU14" s="38" t="inlineStr"/>
      <c r="BV14" s="37" t="inlineStr"/>
      <c r="BW14" s="40" t="inlineStr">
        <is>
          <t>Exempt</t>
        </is>
      </c>
      <c r="BX14" s="38" t="inlineStr"/>
      <c r="BY14" s="37" t="inlineStr"/>
      <c r="BZ14" s="44" t="inlineStr">
        <is>
          <t>Not Started</t>
        </is>
      </c>
      <c r="CA14" s="38" t="inlineStr"/>
      <c r="CB14" s="37" t="inlineStr"/>
      <c r="CC14" s="44" t="inlineStr">
        <is>
          <t>Not Started</t>
        </is>
      </c>
      <c r="CD14" s="38" t="inlineStr"/>
      <c r="CE14" s="37" t="inlineStr"/>
      <c r="CF14" s="40" t="inlineStr">
        <is>
          <t>Exempt</t>
        </is>
      </c>
      <c r="CG14" s="38" t="inlineStr"/>
      <c r="CH14" s="37" t="inlineStr"/>
      <c r="CI14" s="44" t="inlineStr">
        <is>
          <t>Not Started</t>
        </is>
      </c>
      <c r="CJ14" s="38" t="inlineStr"/>
      <c r="CK14" s="37" t="inlineStr"/>
      <c r="CL14" s="44" t="inlineStr">
        <is>
          <t>Not Started</t>
        </is>
      </c>
      <c r="CM14" s="38" t="inlineStr"/>
      <c r="CN14" s="37" t="inlineStr"/>
      <c r="CO14" s="40" t="inlineStr">
        <is>
          <t>Exempt</t>
        </is>
      </c>
      <c r="CP14" s="38" t="inlineStr"/>
      <c r="CQ14" s="37" t="inlineStr"/>
      <c r="CR14">
        <f>IF(OR(F14="Completed",F14="In Progress",F14="Not Started",F14="Failed"),1,0)+IF(OR(I14="Completed",I14="In Progress",I14="Not Started",I14="Failed"),1,0)+IF(OR(L14="Completed",L14="In Progress",L14="Not Started",L14="Failed"),1,0)+IF(OR(O14="Completed",O14="In Progress",O14="Not Started",O14="Failed"),1,0)+IF(OR(R14="Completed",R14="In Progress",R14="Not Started",R14="Failed"),1,0)+IF(OR(U14="Completed",U14="In Progress",U14="Not Started",U14="Failed"),1,0)+IF(OR(X14="Completed",X14="In Progress",X14="Not Started",X14="Failed"),1,0)+IF(OR(AA14="Completed",AA14="In Progress",AA14="Not Started",AA14="Failed"),1,0)+IF(OR(AD14="Completed",AD14="In Progress",AD14="Not Started",AD14="Failed"),1,0)+IF(OR(AG14="Completed",AG14="In Progress",AG14="Not Started",AG14="Failed"),1,0)+IF(OR(AJ14="Completed",AJ14="In Progress",AJ14="Not Started",AJ14="Failed"),1,0)+IF(OR(AM14="Completed",AM14="In Progress",AM14="Not Started",AM14="Failed"),1,0)+IF(OR(AP14="Completed",AP14="In Progress",AP14="Not Started",AP14="Failed"),1,0)+IF(OR(AS14="Completed",AS14="In Progress",AS14="Not Started",AS14="Failed"),1,0)+IF(OR(AV14="Completed",AV14="In Progress",AV14="Not Started",AV14="Failed"),1,0)+IF(OR(AY14="Completed",AY14="In Progress",AY14="Not Started",AY14="Failed"),1,0)+IF(OR(BB14="Completed",BB14="In Progress",BB14="Not Started",BB14="Failed"),1,0)+IF(OR(BE14="Completed",BE14="In Progress",BE14="Not Started",BE14="Failed"),1,0)+IF(OR(BH14="Completed",BH14="In Progress",BH14="Not Started",BH14="Failed"),1,0)+IF(OR(BK14="Completed",BK14="In Progress",BK14="Not Started",BK14="Failed"),1,0)+IF(OR(BN14="Completed",BN14="In Progress",BN14="Not Started",BN14="Failed"),1,0)+IF(OR(BQ14="Completed",BQ14="In Progress",BQ14="Not Started",BQ14="Failed"),1,0)+IF(OR(BT14="Completed",BT14="In Progress",BT14="Not Started",BT14="Failed"),1,0)+IF(OR(BW14="Completed",BW14="In Progress",BW14="Not Started",BW14="Failed"),1,0)+IF(OR(BZ14="Completed",BZ14="In Progress",BZ14="Not Started",BZ14="Failed"),1,0)+IF(OR(CC14="Completed",CC14="In Progress",CC14="Not Started",CC14="Failed"),1,0)+IF(OR(CF14="Completed",CF14="In Progress",CF14="Not Started",CF14="Failed"),1,0)+IF(OR(CI14="Completed",CI14="In Progress",CI14="Not Started",CI14="Failed"),1,0)+IF(OR(CL14="Completed",CL14="In Progress",CL14="Not Started",CL14="Failed"),1,0)+IF(OR(CO14="Completed",CO14="In Progress",CO14="Not Started",CO14="Failed"),1,0)</f>
        <v/>
      </c>
      <c r="CS14">
        <f>IF(F14="Completed",1,0)+IF(I14="Completed",1,0)+IF(L14="Completed",1,0)+IF(O14="Completed",1,0)+IF(R14="Completed",1,0)+IF(U14="Completed",1,0)+IF(X14="Completed",1,0)+IF(AA14="Completed",1,0)+IF(AD14="Completed",1,0)+IF(AG14="Completed",1,0)+IF(AJ14="Completed",1,0)+IF(AM14="Completed",1,0)+IF(AP14="Completed",1,0)+IF(AS14="Completed",1,0)+IF(AV14="Completed",1,0)+IF(AY14="Completed",1,0)+IF(BB14="Completed",1,0)+IF(BE14="Completed",1,0)+IF(BH14="Completed",1,0)+IF(BK14="Completed",1,0)+IF(BN14="Completed",1,0)+IF(BQ14="Completed",1,0)+IF(BT14="Completed",1,0)+IF(BW14="Completed",1,0)+IF(BZ14="Completed",1,0)+IF(CC14="Completed",1,0)+IF(CF14="Completed",1,0)+IF(CI14="Completed",1,0)+IF(CL14="Completed",1,0)+IF(CO14="Completed",1,0)</f>
        <v/>
      </c>
      <c r="CT14" s="41">
        <f>IF(CR14=0,0,CS14/CR14)</f>
        <v/>
      </c>
      <c r="CU14" s="42">
        <f>IF((IF(H14&lt;&gt;"",1,0)+IF(K14&lt;&gt;"",1,0)+IF(N14&lt;&gt;"",1,0)+IF(Q14&lt;&gt;"",1,0)+IF(T14&lt;&gt;"",1,0)+IF(W14&lt;&gt;"",1,0)+IF(Z14&lt;&gt;"",1,0)+IF(AC14&lt;&gt;"",1,0)+IF(AF14&lt;&gt;"",1,0)+IF(AI14&lt;&gt;"",1,0)+IF(AL14&lt;&gt;"",1,0)+IF(AO14&lt;&gt;"",1,0)+IF(AR14&lt;&gt;"",1,0)+IF(AU14&lt;&gt;"",1,0)+IF(AX14&lt;&gt;"",1,0)+IF(BA14&lt;&gt;"",1,0)+IF(BD14&lt;&gt;"",1,0)+IF(BG14&lt;&gt;"",1,0)+IF(BJ14&lt;&gt;"",1,0)+IF(BM14&lt;&gt;"",1,0)+IF(BP14&lt;&gt;"",1,0)+IF(BS14&lt;&gt;"",1,0)+IF(BV14&lt;&gt;"",1,0)+IF(BY14&lt;&gt;"",1,0)+IF(CB14&lt;&gt;"",1,0)+IF(CE14&lt;&gt;"",1,0)+IF(CH14&lt;&gt;"",1,0)+IF(CK14&lt;&gt;"",1,0)+IF(CN14&lt;&gt;"",1,0)+IF(CQ14&lt;&gt;"",1,0))=0,0,(IF(H14&lt;&gt;"",H14,0)+IF(K14&lt;&gt;"",K14,0)+IF(N14&lt;&gt;"",N14,0)+IF(Q14&lt;&gt;"",Q14,0)+IF(T14&lt;&gt;"",T14,0)+IF(W14&lt;&gt;"",W14,0)+IF(Z14&lt;&gt;"",Z14,0)+IF(AC14&lt;&gt;"",AC14,0)+IF(AF14&lt;&gt;"",AF14,0)+IF(AI14&lt;&gt;"",AI14,0)+IF(AL14&lt;&gt;"",AL14,0)+IF(AO14&lt;&gt;"",AO14,0)+IF(AR14&lt;&gt;"",AR14,0)+IF(AU14&lt;&gt;"",AU14,0)+IF(AX14&lt;&gt;"",AX14,0)+IF(BA14&lt;&gt;"",BA14,0)+IF(BD14&lt;&gt;"",BD14,0)+IF(BG14&lt;&gt;"",BG14,0)+IF(BJ14&lt;&gt;"",BJ14,0)+IF(BM14&lt;&gt;"",BM14,0)+IF(BP14&lt;&gt;"",BP14,0)+IF(BS14&lt;&gt;"",BS14,0)+IF(BV14&lt;&gt;"",BV14,0)+IF(BY14&lt;&gt;"",BY14,0)+IF(CB14&lt;&gt;"",CB14,0)+IF(CE14&lt;&gt;"",CE14,0)+IF(CH14&lt;&gt;"",CH14,0)+IF(CK14&lt;&gt;"",CK14,0)+IF(CN14&lt;&gt;"",CN14,0)+IF(CQ14&lt;&gt;"",CQ14,0))/(IF(H14&lt;&gt;"",1,0)+IF(K14&lt;&gt;"",1,0)+IF(N14&lt;&gt;"",1,0)+IF(Q14&lt;&gt;"",1,0)+IF(T14&lt;&gt;"",1,0)+IF(W14&lt;&gt;"",1,0)+IF(Z14&lt;&gt;"",1,0)+IF(AC14&lt;&gt;"",1,0)+IF(AF14&lt;&gt;"",1,0)+IF(AI14&lt;&gt;"",1,0)+IF(AL14&lt;&gt;"",1,0)+IF(AO14&lt;&gt;"",1,0)+IF(AR14&lt;&gt;"",1,0)+IF(AU14&lt;&gt;"",1,0)+IF(AX14&lt;&gt;"",1,0)+IF(BA14&lt;&gt;"",1,0)+IF(BD14&lt;&gt;"",1,0)+IF(BG14&lt;&gt;"",1,0)+IF(BJ14&lt;&gt;"",1,0)+IF(BM14&lt;&gt;"",1,0)+IF(BP14&lt;&gt;"",1,0)+IF(BS14&lt;&gt;"",1,0)+IF(BV14&lt;&gt;"",1,0)+IF(BY14&lt;&gt;"",1,0)+IF(CB14&lt;&gt;"",1,0)+IF(CE14&lt;&gt;"",1,0)+IF(CH14&lt;&gt;"",1,0)+IF(CK14&lt;&gt;"",1,0)+IF(CN14&lt;&gt;"",1,0)+IF(CQ14&lt;&gt;"",1,0)))</f>
        <v/>
      </c>
      <c r="CV14">
        <f>IF(CT14&gt;=0.7,"Yes","No")</f>
        <v/>
      </c>
    </row>
    <row r="15">
      <c r="A15" s="37" t="inlineStr">
        <is>
          <t>EMP-014</t>
        </is>
      </c>
      <c r="B15" t="inlineStr">
        <is>
          <t>Stephanie D. Garcia</t>
        </is>
      </c>
      <c r="C15" t="inlineStr">
        <is>
          <t>Agent</t>
        </is>
      </c>
      <c r="D15" s="38" t="n">
        <v>46111</v>
      </c>
      <c r="E15" t="inlineStr">
        <is>
          <t>Interim</t>
        </is>
      </c>
      <c r="F15" s="39" t="inlineStr">
        <is>
          <t>Completed</t>
        </is>
      </c>
      <c r="G15" s="38" t="n">
        <v>46114</v>
      </c>
      <c r="H15" s="37" t="n">
        <v>86</v>
      </c>
      <c r="I15" s="39" t="inlineStr">
        <is>
          <t>Completed</t>
        </is>
      </c>
      <c r="J15" s="38" t="n">
        <v>46114</v>
      </c>
      <c r="K15" s="37" t="n">
        <v>82</v>
      </c>
      <c r="L15" s="39" t="inlineStr">
        <is>
          <t>Completed</t>
        </is>
      </c>
      <c r="M15" s="38" t="n">
        <v>46113</v>
      </c>
      <c r="N15" s="37" t="n">
        <v>84</v>
      </c>
      <c r="O15" s="43" t="inlineStr">
        <is>
          <t>In Progress</t>
        </is>
      </c>
      <c r="P15" s="38" t="inlineStr"/>
      <c r="Q15" s="37" t="inlineStr"/>
      <c r="R15" s="44" t="inlineStr">
        <is>
          <t>Not Started</t>
        </is>
      </c>
      <c r="S15" s="38" t="inlineStr"/>
      <c r="T15" s="37" t="inlineStr"/>
      <c r="U15" s="39" t="inlineStr">
        <is>
          <t>Completed</t>
        </is>
      </c>
      <c r="V15" s="38" t="n">
        <v>46113</v>
      </c>
      <c r="W15" s="37" t="n">
        <v>82</v>
      </c>
      <c r="X15" s="39" t="inlineStr">
        <is>
          <t>Completed</t>
        </is>
      </c>
      <c r="Y15" s="38" t="n">
        <v>46112</v>
      </c>
      <c r="Z15" s="37" t="n">
        <v>100</v>
      </c>
      <c r="AA15" s="44" t="inlineStr">
        <is>
          <t>Not Started</t>
        </is>
      </c>
      <c r="AB15" s="38" t="inlineStr"/>
      <c r="AC15" s="37" t="inlineStr"/>
      <c r="AD15" s="43" t="inlineStr">
        <is>
          <t>In Progress</t>
        </is>
      </c>
      <c r="AE15" s="38" t="inlineStr"/>
      <c r="AF15" s="37" t="inlineStr"/>
      <c r="AG15" s="44" t="inlineStr">
        <is>
          <t>Not Started</t>
        </is>
      </c>
      <c r="AH15" s="38" t="inlineStr"/>
      <c r="AI15" s="37" t="inlineStr"/>
      <c r="AJ15" s="40" t="inlineStr">
        <is>
          <t>Exempt</t>
        </is>
      </c>
      <c r="AK15" s="38" t="inlineStr"/>
      <c r="AL15" s="37" t="inlineStr"/>
      <c r="AM15" s="39" t="inlineStr">
        <is>
          <t>Completed</t>
        </is>
      </c>
      <c r="AN15" s="38" t="n">
        <v>46112</v>
      </c>
      <c r="AO15" s="37" t="n">
        <v>100</v>
      </c>
      <c r="AP15" s="44" t="inlineStr">
        <is>
          <t>Not Started</t>
        </is>
      </c>
      <c r="AQ15" s="38" t="inlineStr"/>
      <c r="AR15" s="37" t="inlineStr"/>
      <c r="AS15" s="44" t="inlineStr">
        <is>
          <t>Not Started</t>
        </is>
      </c>
      <c r="AT15" s="38" t="inlineStr"/>
      <c r="AU15" s="37" t="inlineStr"/>
      <c r="AV15" s="43" t="inlineStr">
        <is>
          <t>In Progress</t>
        </is>
      </c>
      <c r="AW15" s="38" t="inlineStr"/>
      <c r="AX15" s="37" t="inlineStr"/>
      <c r="AY15" s="44" t="inlineStr">
        <is>
          <t>Not Started</t>
        </is>
      </c>
      <c r="AZ15" s="38" t="inlineStr"/>
      <c r="BA15" s="37" t="inlineStr"/>
      <c r="BB15" s="44" t="inlineStr">
        <is>
          <t>Not Started</t>
        </is>
      </c>
      <c r="BC15" s="38" t="inlineStr"/>
      <c r="BD15" s="37" t="inlineStr"/>
      <c r="BE15" s="39" t="inlineStr">
        <is>
          <t>Completed</t>
        </is>
      </c>
      <c r="BF15" s="38" t="n">
        <v>46112</v>
      </c>
      <c r="BG15" s="37" t="inlineStr"/>
      <c r="BH15" s="44" t="inlineStr">
        <is>
          <t>Not Started</t>
        </is>
      </c>
      <c r="BI15" s="38" t="inlineStr"/>
      <c r="BJ15" s="37" t="inlineStr"/>
      <c r="BK15" s="44" t="inlineStr">
        <is>
          <t>Not Started</t>
        </is>
      </c>
      <c r="BL15" s="38" t="inlineStr"/>
      <c r="BM15" s="37" t="inlineStr"/>
      <c r="BN15" s="44" t="inlineStr">
        <is>
          <t>Not Started</t>
        </is>
      </c>
      <c r="BO15" s="38" t="inlineStr"/>
      <c r="BP15" s="37" t="inlineStr"/>
      <c r="BQ15" s="44" t="inlineStr">
        <is>
          <t>Not Started</t>
        </is>
      </c>
      <c r="BR15" s="38" t="inlineStr"/>
      <c r="BS15" s="37" t="inlineStr"/>
      <c r="BT15" s="44" t="inlineStr">
        <is>
          <t>Not Started</t>
        </is>
      </c>
      <c r="BU15" s="38" t="inlineStr"/>
      <c r="BV15" s="37" t="inlineStr"/>
      <c r="BW15" s="40" t="inlineStr">
        <is>
          <t>Exempt</t>
        </is>
      </c>
      <c r="BX15" s="38" t="inlineStr"/>
      <c r="BY15" s="37" t="inlineStr"/>
      <c r="BZ15" s="44" t="inlineStr">
        <is>
          <t>Not Started</t>
        </is>
      </c>
      <c r="CA15" s="38" t="inlineStr"/>
      <c r="CB15" s="37" t="inlineStr"/>
      <c r="CC15" s="40" t="inlineStr">
        <is>
          <t>Exempt</t>
        </is>
      </c>
      <c r="CD15" s="38" t="inlineStr"/>
      <c r="CE15" s="37" t="inlineStr"/>
      <c r="CF15" s="40" t="inlineStr">
        <is>
          <t>Exempt</t>
        </is>
      </c>
      <c r="CG15" s="38" t="inlineStr"/>
      <c r="CH15" s="37" t="inlineStr"/>
      <c r="CI15" s="40" t="inlineStr">
        <is>
          <t>Exempt</t>
        </is>
      </c>
      <c r="CJ15" s="38" t="inlineStr"/>
      <c r="CK15" s="37" t="inlineStr"/>
      <c r="CL15" s="40" t="inlineStr">
        <is>
          <t>Exempt</t>
        </is>
      </c>
      <c r="CM15" s="38" t="inlineStr"/>
      <c r="CN15" s="37" t="inlineStr"/>
      <c r="CO15" s="40" t="inlineStr">
        <is>
          <t>Exempt</t>
        </is>
      </c>
      <c r="CP15" s="38" t="inlineStr"/>
      <c r="CQ15" s="37" t="inlineStr"/>
      <c r="CR15">
        <f>IF(OR(F15="Completed",F15="In Progress",F15="Not Started",F15="Failed"),1,0)+IF(OR(I15="Completed",I15="In Progress",I15="Not Started",I15="Failed"),1,0)+IF(OR(L15="Completed",L15="In Progress",L15="Not Started",L15="Failed"),1,0)+IF(OR(O15="Completed",O15="In Progress",O15="Not Started",O15="Failed"),1,0)+IF(OR(R15="Completed",R15="In Progress",R15="Not Started",R15="Failed"),1,0)+IF(OR(U15="Completed",U15="In Progress",U15="Not Started",U15="Failed"),1,0)+IF(OR(X15="Completed",X15="In Progress",X15="Not Started",X15="Failed"),1,0)+IF(OR(AA15="Completed",AA15="In Progress",AA15="Not Started",AA15="Failed"),1,0)+IF(OR(AD15="Completed",AD15="In Progress",AD15="Not Started",AD15="Failed"),1,0)+IF(OR(AG15="Completed",AG15="In Progress",AG15="Not Started",AG15="Failed"),1,0)+IF(OR(AJ15="Completed",AJ15="In Progress",AJ15="Not Started",AJ15="Failed"),1,0)+IF(OR(AM15="Completed",AM15="In Progress",AM15="Not Started",AM15="Failed"),1,0)+IF(OR(AP15="Completed",AP15="In Progress",AP15="Not Started",AP15="Failed"),1,0)+IF(OR(AS15="Completed",AS15="In Progress",AS15="Not Started",AS15="Failed"),1,0)+IF(OR(AV15="Completed",AV15="In Progress",AV15="Not Started",AV15="Failed"),1,0)+IF(OR(AY15="Completed",AY15="In Progress",AY15="Not Started",AY15="Failed"),1,0)+IF(OR(BB15="Completed",BB15="In Progress",BB15="Not Started",BB15="Failed"),1,0)+IF(OR(BE15="Completed",BE15="In Progress",BE15="Not Started",BE15="Failed"),1,0)+IF(OR(BH15="Completed",BH15="In Progress",BH15="Not Started",BH15="Failed"),1,0)+IF(OR(BK15="Completed",BK15="In Progress",BK15="Not Started",BK15="Failed"),1,0)+IF(OR(BN15="Completed",BN15="In Progress",BN15="Not Started",BN15="Failed"),1,0)+IF(OR(BQ15="Completed",BQ15="In Progress",BQ15="Not Started",BQ15="Failed"),1,0)+IF(OR(BT15="Completed",BT15="In Progress",BT15="Not Started",BT15="Failed"),1,0)+IF(OR(BW15="Completed",BW15="In Progress",BW15="Not Started",BW15="Failed"),1,0)+IF(OR(BZ15="Completed",BZ15="In Progress",BZ15="Not Started",BZ15="Failed"),1,0)+IF(OR(CC15="Completed",CC15="In Progress",CC15="Not Started",CC15="Failed"),1,0)+IF(OR(CF15="Completed",CF15="In Progress",CF15="Not Started",CF15="Failed"),1,0)+IF(OR(CI15="Completed",CI15="In Progress",CI15="Not Started",CI15="Failed"),1,0)+IF(OR(CL15="Completed",CL15="In Progress",CL15="Not Started",CL15="Failed"),1,0)+IF(OR(CO15="Completed",CO15="In Progress",CO15="Not Started",CO15="Failed"),1,0)</f>
        <v/>
      </c>
      <c r="CS15">
        <f>IF(F15="Completed",1,0)+IF(I15="Completed",1,0)+IF(L15="Completed",1,0)+IF(O15="Completed",1,0)+IF(R15="Completed",1,0)+IF(U15="Completed",1,0)+IF(X15="Completed",1,0)+IF(AA15="Completed",1,0)+IF(AD15="Completed",1,0)+IF(AG15="Completed",1,0)+IF(AJ15="Completed",1,0)+IF(AM15="Completed",1,0)+IF(AP15="Completed",1,0)+IF(AS15="Completed",1,0)+IF(AV15="Completed",1,0)+IF(AY15="Completed",1,0)+IF(BB15="Completed",1,0)+IF(BE15="Completed",1,0)+IF(BH15="Completed",1,0)+IF(BK15="Completed",1,0)+IF(BN15="Completed",1,0)+IF(BQ15="Completed",1,0)+IF(BT15="Completed",1,0)+IF(BW15="Completed",1,0)+IF(BZ15="Completed",1,0)+IF(CC15="Completed",1,0)+IF(CF15="Completed",1,0)+IF(CI15="Completed",1,0)+IF(CL15="Completed",1,0)+IF(CO15="Completed",1,0)</f>
        <v/>
      </c>
      <c r="CT15" s="41">
        <f>IF(CR15=0,0,CS15/CR15)</f>
        <v/>
      </c>
      <c r="CU15" s="42">
        <f>IF((IF(H15&lt;&gt;"",1,0)+IF(K15&lt;&gt;"",1,0)+IF(N15&lt;&gt;"",1,0)+IF(Q15&lt;&gt;"",1,0)+IF(T15&lt;&gt;"",1,0)+IF(W15&lt;&gt;"",1,0)+IF(Z15&lt;&gt;"",1,0)+IF(AC15&lt;&gt;"",1,0)+IF(AF15&lt;&gt;"",1,0)+IF(AI15&lt;&gt;"",1,0)+IF(AL15&lt;&gt;"",1,0)+IF(AO15&lt;&gt;"",1,0)+IF(AR15&lt;&gt;"",1,0)+IF(AU15&lt;&gt;"",1,0)+IF(AX15&lt;&gt;"",1,0)+IF(BA15&lt;&gt;"",1,0)+IF(BD15&lt;&gt;"",1,0)+IF(BG15&lt;&gt;"",1,0)+IF(BJ15&lt;&gt;"",1,0)+IF(BM15&lt;&gt;"",1,0)+IF(BP15&lt;&gt;"",1,0)+IF(BS15&lt;&gt;"",1,0)+IF(BV15&lt;&gt;"",1,0)+IF(BY15&lt;&gt;"",1,0)+IF(CB15&lt;&gt;"",1,0)+IF(CE15&lt;&gt;"",1,0)+IF(CH15&lt;&gt;"",1,0)+IF(CK15&lt;&gt;"",1,0)+IF(CN15&lt;&gt;"",1,0)+IF(CQ15&lt;&gt;"",1,0))=0,0,(IF(H15&lt;&gt;"",H15,0)+IF(K15&lt;&gt;"",K15,0)+IF(N15&lt;&gt;"",N15,0)+IF(Q15&lt;&gt;"",Q15,0)+IF(T15&lt;&gt;"",T15,0)+IF(W15&lt;&gt;"",W15,0)+IF(Z15&lt;&gt;"",Z15,0)+IF(AC15&lt;&gt;"",AC15,0)+IF(AF15&lt;&gt;"",AF15,0)+IF(AI15&lt;&gt;"",AI15,0)+IF(AL15&lt;&gt;"",AL15,0)+IF(AO15&lt;&gt;"",AO15,0)+IF(AR15&lt;&gt;"",AR15,0)+IF(AU15&lt;&gt;"",AU15,0)+IF(AX15&lt;&gt;"",AX15,0)+IF(BA15&lt;&gt;"",BA15,0)+IF(BD15&lt;&gt;"",BD15,0)+IF(BG15&lt;&gt;"",BG15,0)+IF(BJ15&lt;&gt;"",BJ15,0)+IF(BM15&lt;&gt;"",BM15,0)+IF(BP15&lt;&gt;"",BP15,0)+IF(BS15&lt;&gt;"",BS15,0)+IF(BV15&lt;&gt;"",BV15,0)+IF(BY15&lt;&gt;"",BY15,0)+IF(CB15&lt;&gt;"",CB15,0)+IF(CE15&lt;&gt;"",CE15,0)+IF(CH15&lt;&gt;"",CH15,0)+IF(CK15&lt;&gt;"",CK15,0)+IF(CN15&lt;&gt;"",CN15,0)+IF(CQ15&lt;&gt;"",CQ15,0))/(IF(H15&lt;&gt;"",1,0)+IF(K15&lt;&gt;"",1,0)+IF(N15&lt;&gt;"",1,0)+IF(Q15&lt;&gt;"",1,0)+IF(T15&lt;&gt;"",1,0)+IF(W15&lt;&gt;"",1,0)+IF(Z15&lt;&gt;"",1,0)+IF(AC15&lt;&gt;"",1,0)+IF(AF15&lt;&gt;"",1,0)+IF(AI15&lt;&gt;"",1,0)+IF(AL15&lt;&gt;"",1,0)+IF(AO15&lt;&gt;"",1,0)+IF(AR15&lt;&gt;"",1,0)+IF(AU15&lt;&gt;"",1,0)+IF(AX15&lt;&gt;"",1,0)+IF(BA15&lt;&gt;"",1,0)+IF(BD15&lt;&gt;"",1,0)+IF(BG15&lt;&gt;"",1,0)+IF(BJ15&lt;&gt;"",1,0)+IF(BM15&lt;&gt;"",1,0)+IF(BP15&lt;&gt;"",1,0)+IF(BS15&lt;&gt;"",1,0)+IF(BV15&lt;&gt;"",1,0)+IF(BY15&lt;&gt;"",1,0)+IF(CB15&lt;&gt;"",1,0)+IF(CE15&lt;&gt;"",1,0)+IF(CH15&lt;&gt;"",1,0)+IF(CK15&lt;&gt;"",1,0)+IF(CN15&lt;&gt;"",1,0)+IF(CQ15&lt;&gt;"",1,0)))</f>
        <v/>
      </c>
      <c r="CV15">
        <f>IF(CT15&gt;=0.7,"Yes","No")</f>
        <v/>
      </c>
    </row>
    <row r="16">
      <c r="A16" s="37" t="inlineStr">
        <is>
          <t>EMP-015</t>
        </is>
      </c>
      <c r="B16" t="inlineStr">
        <is>
          <t>Brian E. Thompson</t>
        </is>
      </c>
      <c r="C16" t="inlineStr">
        <is>
          <t>Agent</t>
        </is>
      </c>
      <c r="D16" s="38" t="n">
        <v>46111</v>
      </c>
      <c r="E16" t="inlineStr">
        <is>
          <t>Interim</t>
        </is>
      </c>
      <c r="F16" s="39" t="inlineStr">
        <is>
          <t>Completed</t>
        </is>
      </c>
      <c r="G16" s="38" t="n">
        <v>46114</v>
      </c>
      <c r="H16" s="37" t="n">
        <v>84</v>
      </c>
      <c r="I16" s="39" t="inlineStr">
        <is>
          <t>Completed</t>
        </is>
      </c>
      <c r="J16" s="38" t="n">
        <v>46114</v>
      </c>
      <c r="K16" s="37" t="n">
        <v>80</v>
      </c>
      <c r="L16" s="39" t="inlineStr">
        <is>
          <t>Completed</t>
        </is>
      </c>
      <c r="M16" s="38" t="n">
        <v>46113</v>
      </c>
      <c r="N16" s="37" t="n">
        <v>82</v>
      </c>
      <c r="O16" s="43" t="inlineStr">
        <is>
          <t>In Progress</t>
        </is>
      </c>
      <c r="P16" s="38" t="inlineStr"/>
      <c r="Q16" s="37" t="inlineStr"/>
      <c r="R16" s="44" t="inlineStr">
        <is>
          <t>Not Started</t>
        </is>
      </c>
      <c r="S16" s="38" t="inlineStr"/>
      <c r="T16" s="37" t="inlineStr"/>
      <c r="U16" s="39" t="inlineStr">
        <is>
          <t>Completed</t>
        </is>
      </c>
      <c r="V16" s="38" t="n">
        <v>46113</v>
      </c>
      <c r="W16" s="37" t="n">
        <v>80</v>
      </c>
      <c r="X16" s="39" t="inlineStr">
        <is>
          <t>Completed</t>
        </is>
      </c>
      <c r="Y16" s="38" t="n">
        <v>46112</v>
      </c>
      <c r="Z16" s="37" t="n">
        <v>100</v>
      </c>
      <c r="AA16" s="44" t="inlineStr">
        <is>
          <t>Not Started</t>
        </is>
      </c>
      <c r="AB16" s="38" t="inlineStr"/>
      <c r="AC16" s="37" t="inlineStr"/>
      <c r="AD16" s="44" t="inlineStr">
        <is>
          <t>Not Started</t>
        </is>
      </c>
      <c r="AE16" s="38" t="inlineStr"/>
      <c r="AF16" s="37" t="inlineStr"/>
      <c r="AG16" s="44" t="inlineStr">
        <is>
          <t>Not Started</t>
        </is>
      </c>
      <c r="AH16" s="38" t="inlineStr"/>
      <c r="AI16" s="37" t="inlineStr"/>
      <c r="AJ16" s="40" t="inlineStr">
        <is>
          <t>Exempt</t>
        </is>
      </c>
      <c r="AK16" s="38" t="inlineStr"/>
      <c r="AL16" s="37" t="inlineStr"/>
      <c r="AM16" s="39" t="inlineStr">
        <is>
          <t>Completed</t>
        </is>
      </c>
      <c r="AN16" s="38" t="n">
        <v>46112</v>
      </c>
      <c r="AO16" s="37" t="n">
        <v>100</v>
      </c>
      <c r="AP16" s="44" t="inlineStr">
        <is>
          <t>Not Started</t>
        </is>
      </c>
      <c r="AQ16" s="38" t="inlineStr"/>
      <c r="AR16" s="37" t="inlineStr"/>
      <c r="AS16" s="44" t="inlineStr">
        <is>
          <t>Not Started</t>
        </is>
      </c>
      <c r="AT16" s="38" t="inlineStr"/>
      <c r="AU16" s="37" t="inlineStr"/>
      <c r="AV16" s="43" t="inlineStr">
        <is>
          <t>In Progress</t>
        </is>
      </c>
      <c r="AW16" s="38" t="inlineStr"/>
      <c r="AX16" s="37" t="inlineStr"/>
      <c r="AY16" s="44" t="inlineStr">
        <is>
          <t>Not Started</t>
        </is>
      </c>
      <c r="AZ16" s="38" t="inlineStr"/>
      <c r="BA16" s="37" t="inlineStr"/>
      <c r="BB16" s="44" t="inlineStr">
        <is>
          <t>Not Started</t>
        </is>
      </c>
      <c r="BC16" s="38" t="inlineStr"/>
      <c r="BD16" s="37" t="inlineStr"/>
      <c r="BE16" s="39" t="inlineStr">
        <is>
          <t>Completed</t>
        </is>
      </c>
      <c r="BF16" s="38" t="n">
        <v>46112</v>
      </c>
      <c r="BG16" s="37" t="inlineStr"/>
      <c r="BH16" s="44" t="inlineStr">
        <is>
          <t>Not Started</t>
        </is>
      </c>
      <c r="BI16" s="38" t="inlineStr"/>
      <c r="BJ16" s="37" t="inlineStr"/>
      <c r="BK16" s="44" t="inlineStr">
        <is>
          <t>Not Started</t>
        </is>
      </c>
      <c r="BL16" s="38" t="inlineStr"/>
      <c r="BM16" s="37" t="inlineStr"/>
      <c r="BN16" s="44" t="inlineStr">
        <is>
          <t>Not Started</t>
        </is>
      </c>
      <c r="BO16" s="38" t="inlineStr"/>
      <c r="BP16" s="37" t="inlineStr"/>
      <c r="BQ16" s="44" t="inlineStr">
        <is>
          <t>Not Started</t>
        </is>
      </c>
      <c r="BR16" s="38" t="inlineStr"/>
      <c r="BS16" s="37" t="inlineStr"/>
      <c r="BT16" s="44" t="inlineStr">
        <is>
          <t>Not Started</t>
        </is>
      </c>
      <c r="BU16" s="38" t="inlineStr"/>
      <c r="BV16" s="37" t="inlineStr"/>
      <c r="BW16" s="40" t="inlineStr">
        <is>
          <t>Exempt</t>
        </is>
      </c>
      <c r="BX16" s="38" t="inlineStr"/>
      <c r="BY16" s="37" t="inlineStr"/>
      <c r="BZ16" s="44" t="inlineStr">
        <is>
          <t>Not Started</t>
        </is>
      </c>
      <c r="CA16" s="38" t="inlineStr"/>
      <c r="CB16" s="37" t="inlineStr"/>
      <c r="CC16" s="40" t="inlineStr">
        <is>
          <t>Exempt</t>
        </is>
      </c>
      <c r="CD16" s="38" t="inlineStr"/>
      <c r="CE16" s="37" t="inlineStr"/>
      <c r="CF16" s="40" t="inlineStr">
        <is>
          <t>Exempt</t>
        </is>
      </c>
      <c r="CG16" s="38" t="inlineStr"/>
      <c r="CH16" s="37" t="inlineStr"/>
      <c r="CI16" s="40" t="inlineStr">
        <is>
          <t>Exempt</t>
        </is>
      </c>
      <c r="CJ16" s="38" t="inlineStr"/>
      <c r="CK16" s="37" t="inlineStr"/>
      <c r="CL16" s="40" t="inlineStr">
        <is>
          <t>Exempt</t>
        </is>
      </c>
      <c r="CM16" s="38" t="inlineStr"/>
      <c r="CN16" s="37" t="inlineStr"/>
      <c r="CO16" s="40" t="inlineStr">
        <is>
          <t>Exempt</t>
        </is>
      </c>
      <c r="CP16" s="38" t="inlineStr"/>
      <c r="CQ16" s="37" t="inlineStr"/>
      <c r="CR16">
        <f>IF(OR(F16="Completed",F16="In Progress",F16="Not Started",F16="Failed"),1,0)+IF(OR(I16="Completed",I16="In Progress",I16="Not Started",I16="Failed"),1,0)+IF(OR(L16="Completed",L16="In Progress",L16="Not Started",L16="Failed"),1,0)+IF(OR(O16="Completed",O16="In Progress",O16="Not Started",O16="Failed"),1,0)+IF(OR(R16="Completed",R16="In Progress",R16="Not Started",R16="Failed"),1,0)+IF(OR(U16="Completed",U16="In Progress",U16="Not Started",U16="Failed"),1,0)+IF(OR(X16="Completed",X16="In Progress",X16="Not Started",X16="Failed"),1,0)+IF(OR(AA16="Completed",AA16="In Progress",AA16="Not Started",AA16="Failed"),1,0)+IF(OR(AD16="Completed",AD16="In Progress",AD16="Not Started",AD16="Failed"),1,0)+IF(OR(AG16="Completed",AG16="In Progress",AG16="Not Started",AG16="Failed"),1,0)+IF(OR(AJ16="Completed",AJ16="In Progress",AJ16="Not Started",AJ16="Failed"),1,0)+IF(OR(AM16="Completed",AM16="In Progress",AM16="Not Started",AM16="Failed"),1,0)+IF(OR(AP16="Completed",AP16="In Progress",AP16="Not Started",AP16="Failed"),1,0)+IF(OR(AS16="Completed",AS16="In Progress",AS16="Not Started",AS16="Failed"),1,0)+IF(OR(AV16="Completed",AV16="In Progress",AV16="Not Started",AV16="Failed"),1,0)+IF(OR(AY16="Completed",AY16="In Progress",AY16="Not Started",AY16="Failed"),1,0)+IF(OR(BB16="Completed",BB16="In Progress",BB16="Not Started",BB16="Failed"),1,0)+IF(OR(BE16="Completed",BE16="In Progress",BE16="Not Started",BE16="Failed"),1,0)+IF(OR(BH16="Completed",BH16="In Progress",BH16="Not Started",BH16="Failed"),1,0)+IF(OR(BK16="Completed",BK16="In Progress",BK16="Not Started",BK16="Failed"),1,0)+IF(OR(BN16="Completed",BN16="In Progress",BN16="Not Started",BN16="Failed"),1,0)+IF(OR(BQ16="Completed",BQ16="In Progress",BQ16="Not Started",BQ16="Failed"),1,0)+IF(OR(BT16="Completed",BT16="In Progress",BT16="Not Started",BT16="Failed"),1,0)+IF(OR(BW16="Completed",BW16="In Progress",BW16="Not Started",BW16="Failed"),1,0)+IF(OR(BZ16="Completed",BZ16="In Progress",BZ16="Not Started",BZ16="Failed"),1,0)+IF(OR(CC16="Completed",CC16="In Progress",CC16="Not Started",CC16="Failed"),1,0)+IF(OR(CF16="Completed",CF16="In Progress",CF16="Not Started",CF16="Failed"),1,0)+IF(OR(CI16="Completed",CI16="In Progress",CI16="Not Started",CI16="Failed"),1,0)+IF(OR(CL16="Completed",CL16="In Progress",CL16="Not Started",CL16="Failed"),1,0)+IF(OR(CO16="Completed",CO16="In Progress",CO16="Not Started",CO16="Failed"),1,0)</f>
        <v/>
      </c>
      <c r="CS16">
        <f>IF(F16="Completed",1,0)+IF(I16="Completed",1,0)+IF(L16="Completed",1,0)+IF(O16="Completed",1,0)+IF(R16="Completed",1,0)+IF(U16="Completed",1,0)+IF(X16="Completed",1,0)+IF(AA16="Completed",1,0)+IF(AD16="Completed",1,0)+IF(AG16="Completed",1,0)+IF(AJ16="Completed",1,0)+IF(AM16="Completed",1,0)+IF(AP16="Completed",1,0)+IF(AS16="Completed",1,0)+IF(AV16="Completed",1,0)+IF(AY16="Completed",1,0)+IF(BB16="Completed",1,0)+IF(BE16="Completed",1,0)+IF(BH16="Completed",1,0)+IF(BK16="Completed",1,0)+IF(BN16="Completed",1,0)+IF(BQ16="Completed",1,0)+IF(BT16="Completed",1,0)+IF(BW16="Completed",1,0)+IF(BZ16="Completed",1,0)+IF(CC16="Completed",1,0)+IF(CF16="Completed",1,0)+IF(CI16="Completed",1,0)+IF(CL16="Completed",1,0)+IF(CO16="Completed",1,0)</f>
        <v/>
      </c>
      <c r="CT16" s="41">
        <f>IF(CR16=0,0,CS16/CR16)</f>
        <v/>
      </c>
      <c r="CU16" s="42">
        <f>IF((IF(H16&lt;&gt;"",1,0)+IF(K16&lt;&gt;"",1,0)+IF(N16&lt;&gt;"",1,0)+IF(Q16&lt;&gt;"",1,0)+IF(T16&lt;&gt;"",1,0)+IF(W16&lt;&gt;"",1,0)+IF(Z16&lt;&gt;"",1,0)+IF(AC16&lt;&gt;"",1,0)+IF(AF16&lt;&gt;"",1,0)+IF(AI16&lt;&gt;"",1,0)+IF(AL16&lt;&gt;"",1,0)+IF(AO16&lt;&gt;"",1,0)+IF(AR16&lt;&gt;"",1,0)+IF(AU16&lt;&gt;"",1,0)+IF(AX16&lt;&gt;"",1,0)+IF(BA16&lt;&gt;"",1,0)+IF(BD16&lt;&gt;"",1,0)+IF(BG16&lt;&gt;"",1,0)+IF(BJ16&lt;&gt;"",1,0)+IF(BM16&lt;&gt;"",1,0)+IF(BP16&lt;&gt;"",1,0)+IF(BS16&lt;&gt;"",1,0)+IF(BV16&lt;&gt;"",1,0)+IF(BY16&lt;&gt;"",1,0)+IF(CB16&lt;&gt;"",1,0)+IF(CE16&lt;&gt;"",1,0)+IF(CH16&lt;&gt;"",1,0)+IF(CK16&lt;&gt;"",1,0)+IF(CN16&lt;&gt;"",1,0)+IF(CQ16&lt;&gt;"",1,0))=0,0,(IF(H16&lt;&gt;"",H16,0)+IF(K16&lt;&gt;"",K16,0)+IF(N16&lt;&gt;"",N16,0)+IF(Q16&lt;&gt;"",Q16,0)+IF(T16&lt;&gt;"",T16,0)+IF(W16&lt;&gt;"",W16,0)+IF(Z16&lt;&gt;"",Z16,0)+IF(AC16&lt;&gt;"",AC16,0)+IF(AF16&lt;&gt;"",AF16,0)+IF(AI16&lt;&gt;"",AI16,0)+IF(AL16&lt;&gt;"",AL16,0)+IF(AO16&lt;&gt;"",AO16,0)+IF(AR16&lt;&gt;"",AR16,0)+IF(AU16&lt;&gt;"",AU16,0)+IF(AX16&lt;&gt;"",AX16,0)+IF(BA16&lt;&gt;"",BA16,0)+IF(BD16&lt;&gt;"",BD16,0)+IF(BG16&lt;&gt;"",BG16,0)+IF(BJ16&lt;&gt;"",BJ16,0)+IF(BM16&lt;&gt;"",BM16,0)+IF(BP16&lt;&gt;"",BP16,0)+IF(BS16&lt;&gt;"",BS16,0)+IF(BV16&lt;&gt;"",BV16,0)+IF(BY16&lt;&gt;"",BY16,0)+IF(CB16&lt;&gt;"",CB16,0)+IF(CE16&lt;&gt;"",CE16,0)+IF(CH16&lt;&gt;"",CH16,0)+IF(CK16&lt;&gt;"",CK16,0)+IF(CN16&lt;&gt;"",CN16,0)+IF(CQ16&lt;&gt;"",CQ16,0))/(IF(H16&lt;&gt;"",1,0)+IF(K16&lt;&gt;"",1,0)+IF(N16&lt;&gt;"",1,0)+IF(Q16&lt;&gt;"",1,0)+IF(T16&lt;&gt;"",1,0)+IF(W16&lt;&gt;"",1,0)+IF(Z16&lt;&gt;"",1,0)+IF(AC16&lt;&gt;"",1,0)+IF(AF16&lt;&gt;"",1,0)+IF(AI16&lt;&gt;"",1,0)+IF(AL16&lt;&gt;"",1,0)+IF(AO16&lt;&gt;"",1,0)+IF(AR16&lt;&gt;"",1,0)+IF(AU16&lt;&gt;"",1,0)+IF(AX16&lt;&gt;"",1,0)+IF(BA16&lt;&gt;"",1,0)+IF(BD16&lt;&gt;"",1,0)+IF(BG16&lt;&gt;"",1,0)+IF(BJ16&lt;&gt;"",1,0)+IF(BM16&lt;&gt;"",1,0)+IF(BP16&lt;&gt;"",1,0)+IF(BS16&lt;&gt;"",1,0)+IF(BV16&lt;&gt;"",1,0)+IF(BY16&lt;&gt;"",1,0)+IF(CB16&lt;&gt;"",1,0)+IF(CE16&lt;&gt;"",1,0)+IF(CH16&lt;&gt;"",1,0)+IF(CK16&lt;&gt;"",1,0)+IF(CN16&lt;&gt;"",1,0)+IF(CQ16&lt;&gt;"",1,0)))</f>
        <v/>
      </c>
      <c r="CV16">
        <f>IF(CT16&gt;=0.7,"Yes","No")</f>
        <v/>
      </c>
    </row>
    <row r="17">
      <c r="A17" s="37" t="inlineStr">
        <is>
          <t>EMP-016</t>
        </is>
      </c>
      <c r="B17" t="inlineStr">
        <is>
          <t>Rachel A. Lee</t>
        </is>
      </c>
      <c r="C17" t="inlineStr">
        <is>
          <t>QA Analyst</t>
        </is>
      </c>
      <c r="D17" s="38" t="n">
        <v>46111</v>
      </c>
      <c r="E17" t="inlineStr">
        <is>
          <t>Final</t>
        </is>
      </c>
      <c r="F17" s="39" t="inlineStr">
        <is>
          <t>Completed</t>
        </is>
      </c>
      <c r="G17" s="38" t="n">
        <v>46113</v>
      </c>
      <c r="H17" s="37" t="n">
        <v>92</v>
      </c>
      <c r="I17" s="39" t="inlineStr">
        <is>
          <t>Completed</t>
        </is>
      </c>
      <c r="J17" s="38" t="n">
        <v>46113</v>
      </c>
      <c r="K17" s="37" t="n">
        <v>88</v>
      </c>
      <c r="L17" s="39" t="inlineStr">
        <is>
          <t>Completed</t>
        </is>
      </c>
      <c r="M17" s="38" t="n">
        <v>46112</v>
      </c>
      <c r="N17" s="37" t="n">
        <v>90</v>
      </c>
      <c r="O17" s="39" t="inlineStr">
        <is>
          <t>Completed</t>
        </is>
      </c>
      <c r="P17" s="38" t="n">
        <v>46118</v>
      </c>
      <c r="Q17" s="37" t="n">
        <v>84</v>
      </c>
      <c r="R17" s="43" t="inlineStr">
        <is>
          <t>In Progress</t>
        </is>
      </c>
      <c r="S17" s="38" t="inlineStr"/>
      <c r="T17" s="37" t="inlineStr"/>
      <c r="U17" s="39" t="inlineStr">
        <is>
          <t>Completed</t>
        </is>
      </c>
      <c r="V17" s="38" t="n">
        <v>46112</v>
      </c>
      <c r="W17" s="37" t="n">
        <v>88</v>
      </c>
      <c r="X17" s="39" t="inlineStr">
        <is>
          <t>Completed</t>
        </is>
      </c>
      <c r="Y17" s="38" t="n">
        <v>46111</v>
      </c>
      <c r="Z17" s="37" t="n">
        <v>100</v>
      </c>
      <c r="AA17" s="40" t="inlineStr">
        <is>
          <t>Exempt</t>
        </is>
      </c>
      <c r="AB17" s="38" t="inlineStr"/>
      <c r="AC17" s="37" t="inlineStr"/>
      <c r="AD17" s="39" t="inlineStr">
        <is>
          <t>Completed</t>
        </is>
      </c>
      <c r="AE17" s="38" t="n">
        <v>46118</v>
      </c>
      <c r="AF17" s="37" t="inlineStr"/>
      <c r="AG17" s="43" t="inlineStr">
        <is>
          <t>In Progress</t>
        </is>
      </c>
      <c r="AH17" s="38" t="inlineStr"/>
      <c r="AI17" s="37" t="inlineStr"/>
      <c r="AJ17" s="40" t="inlineStr">
        <is>
          <t>Exempt</t>
        </is>
      </c>
      <c r="AK17" s="38" t="inlineStr"/>
      <c r="AL17" s="37" t="inlineStr"/>
      <c r="AM17" s="39" t="inlineStr">
        <is>
          <t>Completed</t>
        </is>
      </c>
      <c r="AN17" s="38" t="n">
        <v>46111</v>
      </c>
      <c r="AO17" s="37" t="n">
        <v>100</v>
      </c>
      <c r="AP17" s="43" t="inlineStr">
        <is>
          <t>In Progress</t>
        </is>
      </c>
      <c r="AQ17" s="38" t="inlineStr"/>
      <c r="AR17" s="37" t="inlineStr"/>
      <c r="AS17" s="44" t="inlineStr">
        <is>
          <t>Not Started</t>
        </is>
      </c>
      <c r="AT17" s="38" t="inlineStr"/>
      <c r="AU17" s="37" t="inlineStr"/>
      <c r="AV17" s="39" t="inlineStr">
        <is>
          <t>Completed</t>
        </is>
      </c>
      <c r="AW17" s="38" t="n">
        <v>46117</v>
      </c>
      <c r="AX17" s="37" t="inlineStr"/>
      <c r="AY17" s="44" t="inlineStr">
        <is>
          <t>Not Started</t>
        </is>
      </c>
      <c r="AZ17" s="38" t="inlineStr"/>
      <c r="BA17" s="37" t="inlineStr"/>
      <c r="BB17" s="44" t="inlineStr">
        <is>
          <t>Not Started</t>
        </is>
      </c>
      <c r="BC17" s="38" t="inlineStr"/>
      <c r="BD17" s="37" t="inlineStr"/>
      <c r="BE17" s="39" t="inlineStr">
        <is>
          <t>Completed</t>
        </is>
      </c>
      <c r="BF17" s="38" t="n">
        <v>46111</v>
      </c>
      <c r="BG17" s="37" t="inlineStr"/>
      <c r="BH17" s="40" t="inlineStr">
        <is>
          <t>Exempt</t>
        </is>
      </c>
      <c r="BI17" s="38" t="inlineStr"/>
      <c r="BJ17" s="37" t="inlineStr"/>
      <c r="BK17" s="40" t="inlineStr">
        <is>
          <t>Exempt</t>
        </is>
      </c>
      <c r="BL17" s="38" t="inlineStr"/>
      <c r="BM17" s="37" t="inlineStr"/>
      <c r="BN17" s="40" t="inlineStr">
        <is>
          <t>Exempt</t>
        </is>
      </c>
      <c r="BO17" s="38" t="inlineStr"/>
      <c r="BP17" s="37" t="inlineStr"/>
      <c r="BQ17" s="39" t="inlineStr">
        <is>
          <t>Completed</t>
        </is>
      </c>
      <c r="BR17" s="38" t="n">
        <v>46118</v>
      </c>
      <c r="BS17" s="37" t="n">
        <v>82</v>
      </c>
      <c r="BT17" s="44" t="inlineStr">
        <is>
          <t>Not Started</t>
        </is>
      </c>
      <c r="BU17" s="38" t="inlineStr"/>
      <c r="BV17" s="37" t="inlineStr"/>
      <c r="BW17" s="44" t="inlineStr">
        <is>
          <t>Not Started</t>
        </is>
      </c>
      <c r="BX17" s="38" t="inlineStr"/>
      <c r="BY17" s="37" t="inlineStr"/>
      <c r="BZ17" s="44" t="inlineStr">
        <is>
          <t>Not Started</t>
        </is>
      </c>
      <c r="CA17" s="38" t="inlineStr"/>
      <c r="CB17" s="37" t="inlineStr"/>
      <c r="CC17" s="40" t="inlineStr">
        <is>
          <t>Exempt</t>
        </is>
      </c>
      <c r="CD17" s="38" t="inlineStr"/>
      <c r="CE17" s="37" t="inlineStr"/>
      <c r="CF17" s="40" t="inlineStr">
        <is>
          <t>Exempt</t>
        </is>
      </c>
      <c r="CG17" s="38" t="inlineStr"/>
      <c r="CH17" s="37" t="inlineStr"/>
      <c r="CI17" s="40" t="inlineStr">
        <is>
          <t>Exempt</t>
        </is>
      </c>
      <c r="CJ17" s="38" t="inlineStr"/>
      <c r="CK17" s="37" t="inlineStr"/>
      <c r="CL17" s="40" t="inlineStr">
        <is>
          <t>Exempt</t>
        </is>
      </c>
      <c r="CM17" s="38" t="inlineStr"/>
      <c r="CN17" s="37" t="inlineStr"/>
      <c r="CO17" s="40" t="inlineStr">
        <is>
          <t>Exempt</t>
        </is>
      </c>
      <c r="CP17" s="38" t="inlineStr"/>
      <c r="CQ17" s="37" t="inlineStr"/>
      <c r="CR17">
        <f>IF(OR(F17="Completed",F17="In Progress",F17="Not Started",F17="Failed"),1,0)+IF(OR(I17="Completed",I17="In Progress",I17="Not Started",I17="Failed"),1,0)+IF(OR(L17="Completed",L17="In Progress",L17="Not Started",L17="Failed"),1,0)+IF(OR(O17="Completed",O17="In Progress",O17="Not Started",O17="Failed"),1,0)+IF(OR(R17="Completed",R17="In Progress",R17="Not Started",R17="Failed"),1,0)+IF(OR(U17="Completed",U17="In Progress",U17="Not Started",U17="Failed"),1,0)+IF(OR(X17="Completed",X17="In Progress",X17="Not Started",X17="Failed"),1,0)+IF(OR(AA17="Completed",AA17="In Progress",AA17="Not Started",AA17="Failed"),1,0)+IF(OR(AD17="Completed",AD17="In Progress",AD17="Not Started",AD17="Failed"),1,0)+IF(OR(AG17="Completed",AG17="In Progress",AG17="Not Started",AG17="Failed"),1,0)+IF(OR(AJ17="Completed",AJ17="In Progress",AJ17="Not Started",AJ17="Failed"),1,0)+IF(OR(AM17="Completed",AM17="In Progress",AM17="Not Started",AM17="Failed"),1,0)+IF(OR(AP17="Completed",AP17="In Progress",AP17="Not Started",AP17="Failed"),1,0)+IF(OR(AS17="Completed",AS17="In Progress",AS17="Not Started",AS17="Failed"),1,0)+IF(OR(AV17="Completed",AV17="In Progress",AV17="Not Started",AV17="Failed"),1,0)+IF(OR(AY17="Completed",AY17="In Progress",AY17="Not Started",AY17="Failed"),1,0)+IF(OR(BB17="Completed",BB17="In Progress",BB17="Not Started",BB17="Failed"),1,0)+IF(OR(BE17="Completed",BE17="In Progress",BE17="Not Started",BE17="Failed"),1,0)+IF(OR(BH17="Completed",BH17="In Progress",BH17="Not Started",BH17="Failed"),1,0)+IF(OR(BK17="Completed",BK17="In Progress",BK17="Not Started",BK17="Failed"),1,0)+IF(OR(BN17="Completed",BN17="In Progress",BN17="Not Started",BN17="Failed"),1,0)+IF(OR(BQ17="Completed",BQ17="In Progress",BQ17="Not Started",BQ17="Failed"),1,0)+IF(OR(BT17="Completed",BT17="In Progress",BT17="Not Started",BT17="Failed"),1,0)+IF(OR(BW17="Completed",BW17="In Progress",BW17="Not Started",BW17="Failed"),1,0)+IF(OR(BZ17="Completed",BZ17="In Progress",BZ17="Not Started",BZ17="Failed"),1,0)+IF(OR(CC17="Completed",CC17="In Progress",CC17="Not Started",CC17="Failed"),1,0)+IF(OR(CF17="Completed",CF17="In Progress",CF17="Not Started",CF17="Failed"),1,0)+IF(OR(CI17="Completed",CI17="In Progress",CI17="Not Started",CI17="Failed"),1,0)+IF(OR(CL17="Completed",CL17="In Progress",CL17="Not Started",CL17="Failed"),1,0)+IF(OR(CO17="Completed",CO17="In Progress",CO17="Not Started",CO17="Failed"),1,0)</f>
        <v/>
      </c>
      <c r="CS17">
        <f>IF(F17="Completed",1,0)+IF(I17="Completed",1,0)+IF(L17="Completed",1,0)+IF(O17="Completed",1,0)+IF(R17="Completed",1,0)+IF(U17="Completed",1,0)+IF(X17="Completed",1,0)+IF(AA17="Completed",1,0)+IF(AD17="Completed",1,0)+IF(AG17="Completed",1,0)+IF(AJ17="Completed",1,0)+IF(AM17="Completed",1,0)+IF(AP17="Completed",1,0)+IF(AS17="Completed",1,0)+IF(AV17="Completed",1,0)+IF(AY17="Completed",1,0)+IF(BB17="Completed",1,0)+IF(BE17="Completed",1,0)+IF(BH17="Completed",1,0)+IF(BK17="Completed",1,0)+IF(BN17="Completed",1,0)+IF(BQ17="Completed",1,0)+IF(BT17="Completed",1,0)+IF(BW17="Completed",1,0)+IF(BZ17="Completed",1,0)+IF(CC17="Completed",1,0)+IF(CF17="Completed",1,0)+IF(CI17="Completed",1,0)+IF(CL17="Completed",1,0)+IF(CO17="Completed",1,0)</f>
        <v/>
      </c>
      <c r="CT17" s="41">
        <f>IF(CR17=0,0,CS17/CR17)</f>
        <v/>
      </c>
      <c r="CU17" s="42">
        <f>IF((IF(H17&lt;&gt;"",1,0)+IF(K17&lt;&gt;"",1,0)+IF(N17&lt;&gt;"",1,0)+IF(Q17&lt;&gt;"",1,0)+IF(T17&lt;&gt;"",1,0)+IF(W17&lt;&gt;"",1,0)+IF(Z17&lt;&gt;"",1,0)+IF(AC17&lt;&gt;"",1,0)+IF(AF17&lt;&gt;"",1,0)+IF(AI17&lt;&gt;"",1,0)+IF(AL17&lt;&gt;"",1,0)+IF(AO17&lt;&gt;"",1,0)+IF(AR17&lt;&gt;"",1,0)+IF(AU17&lt;&gt;"",1,0)+IF(AX17&lt;&gt;"",1,0)+IF(BA17&lt;&gt;"",1,0)+IF(BD17&lt;&gt;"",1,0)+IF(BG17&lt;&gt;"",1,0)+IF(BJ17&lt;&gt;"",1,0)+IF(BM17&lt;&gt;"",1,0)+IF(BP17&lt;&gt;"",1,0)+IF(BS17&lt;&gt;"",1,0)+IF(BV17&lt;&gt;"",1,0)+IF(BY17&lt;&gt;"",1,0)+IF(CB17&lt;&gt;"",1,0)+IF(CE17&lt;&gt;"",1,0)+IF(CH17&lt;&gt;"",1,0)+IF(CK17&lt;&gt;"",1,0)+IF(CN17&lt;&gt;"",1,0)+IF(CQ17&lt;&gt;"",1,0))=0,0,(IF(H17&lt;&gt;"",H17,0)+IF(K17&lt;&gt;"",K17,0)+IF(N17&lt;&gt;"",N17,0)+IF(Q17&lt;&gt;"",Q17,0)+IF(T17&lt;&gt;"",T17,0)+IF(W17&lt;&gt;"",W17,0)+IF(Z17&lt;&gt;"",Z17,0)+IF(AC17&lt;&gt;"",AC17,0)+IF(AF17&lt;&gt;"",AF17,0)+IF(AI17&lt;&gt;"",AI17,0)+IF(AL17&lt;&gt;"",AL17,0)+IF(AO17&lt;&gt;"",AO17,0)+IF(AR17&lt;&gt;"",AR17,0)+IF(AU17&lt;&gt;"",AU17,0)+IF(AX17&lt;&gt;"",AX17,0)+IF(BA17&lt;&gt;"",BA17,0)+IF(BD17&lt;&gt;"",BD17,0)+IF(BG17&lt;&gt;"",BG17,0)+IF(BJ17&lt;&gt;"",BJ17,0)+IF(BM17&lt;&gt;"",BM17,0)+IF(BP17&lt;&gt;"",BP17,0)+IF(BS17&lt;&gt;"",BS17,0)+IF(BV17&lt;&gt;"",BV17,0)+IF(BY17&lt;&gt;"",BY17,0)+IF(CB17&lt;&gt;"",CB17,0)+IF(CE17&lt;&gt;"",CE17,0)+IF(CH17&lt;&gt;"",CH17,0)+IF(CK17&lt;&gt;"",CK17,0)+IF(CN17&lt;&gt;"",CN17,0)+IF(CQ17&lt;&gt;"",CQ17,0))/(IF(H17&lt;&gt;"",1,0)+IF(K17&lt;&gt;"",1,0)+IF(N17&lt;&gt;"",1,0)+IF(Q17&lt;&gt;"",1,0)+IF(T17&lt;&gt;"",1,0)+IF(W17&lt;&gt;"",1,0)+IF(Z17&lt;&gt;"",1,0)+IF(AC17&lt;&gt;"",1,0)+IF(AF17&lt;&gt;"",1,0)+IF(AI17&lt;&gt;"",1,0)+IF(AL17&lt;&gt;"",1,0)+IF(AO17&lt;&gt;"",1,0)+IF(AR17&lt;&gt;"",1,0)+IF(AU17&lt;&gt;"",1,0)+IF(AX17&lt;&gt;"",1,0)+IF(BA17&lt;&gt;"",1,0)+IF(BD17&lt;&gt;"",1,0)+IF(BG17&lt;&gt;"",1,0)+IF(BJ17&lt;&gt;"",1,0)+IF(BM17&lt;&gt;"",1,0)+IF(BP17&lt;&gt;"",1,0)+IF(BS17&lt;&gt;"",1,0)+IF(BV17&lt;&gt;"",1,0)+IF(BY17&lt;&gt;"",1,0)+IF(CB17&lt;&gt;"",1,0)+IF(CE17&lt;&gt;"",1,0)+IF(CH17&lt;&gt;"",1,0)+IF(CK17&lt;&gt;"",1,0)+IF(CN17&lt;&gt;"",1,0)+IF(CQ17&lt;&gt;"",1,0)))</f>
        <v/>
      </c>
      <c r="CV17">
        <f>IF(CT17&gt;=0.7,"Yes","No")</f>
        <v/>
      </c>
    </row>
    <row r="18">
      <c r="A18" s="37" t="inlineStr">
        <is>
          <t>EMP-017</t>
        </is>
      </c>
      <c r="B18" t="inlineStr">
        <is>
          <t>Christopher M. Brown</t>
        </is>
      </c>
      <c r="C18" t="inlineStr">
        <is>
          <t>Agent</t>
        </is>
      </c>
      <c r="D18" s="38" t="n">
        <v>46118</v>
      </c>
      <c r="E18" t="inlineStr">
        <is>
          <t>Interim</t>
        </is>
      </c>
      <c r="F18" s="39" t="inlineStr">
        <is>
          <t>Completed</t>
        </is>
      </c>
      <c r="G18" s="38" t="n">
        <v>46120</v>
      </c>
      <c r="H18" s="37" t="n">
        <v>86</v>
      </c>
      <c r="I18" s="39" t="inlineStr">
        <is>
          <t>Completed</t>
        </is>
      </c>
      <c r="J18" s="38" t="n">
        <v>46120</v>
      </c>
      <c r="K18" s="37" t="n">
        <v>80</v>
      </c>
      <c r="L18" s="39" t="inlineStr">
        <is>
          <t>Completed</t>
        </is>
      </c>
      <c r="M18" s="38" t="n">
        <v>46119</v>
      </c>
      <c r="N18" s="37" t="n">
        <v>84</v>
      </c>
      <c r="O18" s="44" t="inlineStr">
        <is>
          <t>Not Started</t>
        </is>
      </c>
      <c r="P18" s="38" t="inlineStr"/>
      <c r="Q18" s="37" t="inlineStr"/>
      <c r="R18" s="44" t="inlineStr">
        <is>
          <t>Not Started</t>
        </is>
      </c>
      <c r="S18" s="38" t="inlineStr"/>
      <c r="T18" s="37" t="inlineStr"/>
      <c r="U18" s="39" t="inlineStr">
        <is>
          <t>Completed</t>
        </is>
      </c>
      <c r="V18" s="38" t="n">
        <v>46119</v>
      </c>
      <c r="W18" s="37" t="n">
        <v>82</v>
      </c>
      <c r="X18" s="39" t="inlineStr">
        <is>
          <t>Completed</t>
        </is>
      </c>
      <c r="Y18" s="38" t="n">
        <v>46118</v>
      </c>
      <c r="Z18" s="37" t="n">
        <v>100</v>
      </c>
      <c r="AA18" s="44" t="inlineStr">
        <is>
          <t>Not Started</t>
        </is>
      </c>
      <c r="AB18" s="38" t="inlineStr"/>
      <c r="AC18" s="37" t="inlineStr"/>
      <c r="AD18" s="44" t="inlineStr">
        <is>
          <t>Not Started</t>
        </is>
      </c>
      <c r="AE18" s="38" t="inlineStr"/>
      <c r="AF18" s="37" t="inlineStr"/>
      <c r="AG18" s="44" t="inlineStr">
        <is>
          <t>Not Started</t>
        </is>
      </c>
      <c r="AH18" s="38" t="inlineStr"/>
      <c r="AI18" s="37" t="inlineStr"/>
      <c r="AJ18" s="40" t="inlineStr">
        <is>
          <t>Exempt</t>
        </is>
      </c>
      <c r="AK18" s="38" t="inlineStr"/>
      <c r="AL18" s="37" t="inlineStr"/>
      <c r="AM18" s="39" t="inlineStr">
        <is>
          <t>Completed</t>
        </is>
      </c>
      <c r="AN18" s="38" t="n">
        <v>46118</v>
      </c>
      <c r="AO18" s="37" t="n">
        <v>100</v>
      </c>
      <c r="AP18" s="44" t="inlineStr">
        <is>
          <t>Not Started</t>
        </is>
      </c>
      <c r="AQ18" s="38" t="inlineStr"/>
      <c r="AR18" s="37" t="inlineStr"/>
      <c r="AS18" s="44" t="inlineStr">
        <is>
          <t>Not Started</t>
        </is>
      </c>
      <c r="AT18" s="38" t="inlineStr"/>
      <c r="AU18" s="37" t="inlineStr"/>
      <c r="AV18" s="44" t="inlineStr">
        <is>
          <t>Not Started</t>
        </is>
      </c>
      <c r="AW18" s="38" t="inlineStr"/>
      <c r="AX18" s="37" t="inlineStr"/>
      <c r="AY18" s="44" t="inlineStr">
        <is>
          <t>Not Started</t>
        </is>
      </c>
      <c r="AZ18" s="38" t="inlineStr"/>
      <c r="BA18" s="37" t="inlineStr"/>
      <c r="BB18" s="44" t="inlineStr">
        <is>
          <t>Not Started</t>
        </is>
      </c>
      <c r="BC18" s="38" t="inlineStr"/>
      <c r="BD18" s="37" t="inlineStr"/>
      <c r="BE18" s="39" t="inlineStr">
        <is>
          <t>Completed</t>
        </is>
      </c>
      <c r="BF18" s="38" t="n">
        <v>46118</v>
      </c>
      <c r="BG18" s="37" t="inlineStr"/>
      <c r="BH18" s="44" t="inlineStr">
        <is>
          <t>Not Started</t>
        </is>
      </c>
      <c r="BI18" s="38" t="inlineStr"/>
      <c r="BJ18" s="37" t="inlineStr"/>
      <c r="BK18" s="44" t="inlineStr">
        <is>
          <t>Not Started</t>
        </is>
      </c>
      <c r="BL18" s="38" t="inlineStr"/>
      <c r="BM18" s="37" t="inlineStr"/>
      <c r="BN18" s="44" t="inlineStr">
        <is>
          <t>Not Started</t>
        </is>
      </c>
      <c r="BO18" s="38" t="inlineStr"/>
      <c r="BP18" s="37" t="inlineStr"/>
      <c r="BQ18" s="44" t="inlineStr">
        <is>
          <t>Not Started</t>
        </is>
      </c>
      <c r="BR18" s="38" t="inlineStr"/>
      <c r="BS18" s="37" t="inlineStr"/>
      <c r="BT18" s="44" t="inlineStr">
        <is>
          <t>Not Started</t>
        </is>
      </c>
      <c r="BU18" s="38" t="inlineStr"/>
      <c r="BV18" s="37" t="inlineStr"/>
      <c r="BW18" s="40" t="inlineStr">
        <is>
          <t>Exempt</t>
        </is>
      </c>
      <c r="BX18" s="38" t="inlineStr"/>
      <c r="BY18" s="37" t="inlineStr"/>
      <c r="BZ18" s="44" t="inlineStr">
        <is>
          <t>Not Started</t>
        </is>
      </c>
      <c r="CA18" s="38" t="inlineStr"/>
      <c r="CB18" s="37" t="inlineStr"/>
      <c r="CC18" s="40" t="inlineStr">
        <is>
          <t>Exempt</t>
        </is>
      </c>
      <c r="CD18" s="38" t="inlineStr"/>
      <c r="CE18" s="37" t="inlineStr"/>
      <c r="CF18" s="40" t="inlineStr">
        <is>
          <t>Exempt</t>
        </is>
      </c>
      <c r="CG18" s="38" t="inlineStr"/>
      <c r="CH18" s="37" t="inlineStr"/>
      <c r="CI18" s="40" t="inlineStr">
        <is>
          <t>Exempt</t>
        </is>
      </c>
      <c r="CJ18" s="38" t="inlineStr"/>
      <c r="CK18" s="37" t="inlineStr"/>
      <c r="CL18" s="40" t="inlineStr">
        <is>
          <t>Exempt</t>
        </is>
      </c>
      <c r="CM18" s="38" t="inlineStr"/>
      <c r="CN18" s="37" t="inlineStr"/>
      <c r="CO18" s="40" t="inlineStr">
        <is>
          <t>Exempt</t>
        </is>
      </c>
      <c r="CP18" s="38" t="inlineStr"/>
      <c r="CQ18" s="37" t="inlineStr"/>
      <c r="CR18">
        <f>IF(OR(F18="Completed",F18="In Progress",F18="Not Started",F18="Failed"),1,0)+IF(OR(I18="Completed",I18="In Progress",I18="Not Started",I18="Failed"),1,0)+IF(OR(L18="Completed",L18="In Progress",L18="Not Started",L18="Failed"),1,0)+IF(OR(O18="Completed",O18="In Progress",O18="Not Started",O18="Failed"),1,0)+IF(OR(R18="Completed",R18="In Progress",R18="Not Started",R18="Failed"),1,0)+IF(OR(U18="Completed",U18="In Progress",U18="Not Started",U18="Failed"),1,0)+IF(OR(X18="Completed",X18="In Progress",X18="Not Started",X18="Failed"),1,0)+IF(OR(AA18="Completed",AA18="In Progress",AA18="Not Started",AA18="Failed"),1,0)+IF(OR(AD18="Completed",AD18="In Progress",AD18="Not Started",AD18="Failed"),1,0)+IF(OR(AG18="Completed",AG18="In Progress",AG18="Not Started",AG18="Failed"),1,0)+IF(OR(AJ18="Completed",AJ18="In Progress",AJ18="Not Started",AJ18="Failed"),1,0)+IF(OR(AM18="Completed",AM18="In Progress",AM18="Not Started",AM18="Failed"),1,0)+IF(OR(AP18="Completed",AP18="In Progress",AP18="Not Started",AP18="Failed"),1,0)+IF(OR(AS18="Completed",AS18="In Progress",AS18="Not Started",AS18="Failed"),1,0)+IF(OR(AV18="Completed",AV18="In Progress",AV18="Not Started",AV18="Failed"),1,0)+IF(OR(AY18="Completed",AY18="In Progress",AY18="Not Started",AY18="Failed"),1,0)+IF(OR(BB18="Completed",BB18="In Progress",BB18="Not Started",BB18="Failed"),1,0)+IF(OR(BE18="Completed",BE18="In Progress",BE18="Not Started",BE18="Failed"),1,0)+IF(OR(BH18="Completed",BH18="In Progress",BH18="Not Started",BH18="Failed"),1,0)+IF(OR(BK18="Completed",BK18="In Progress",BK18="Not Started",BK18="Failed"),1,0)+IF(OR(BN18="Completed",BN18="In Progress",BN18="Not Started",BN18="Failed"),1,0)+IF(OR(BQ18="Completed",BQ18="In Progress",BQ18="Not Started",BQ18="Failed"),1,0)+IF(OR(BT18="Completed",BT18="In Progress",BT18="Not Started",BT18="Failed"),1,0)+IF(OR(BW18="Completed",BW18="In Progress",BW18="Not Started",BW18="Failed"),1,0)+IF(OR(BZ18="Completed",BZ18="In Progress",BZ18="Not Started",BZ18="Failed"),1,0)+IF(OR(CC18="Completed",CC18="In Progress",CC18="Not Started",CC18="Failed"),1,0)+IF(OR(CF18="Completed",CF18="In Progress",CF18="Not Started",CF18="Failed"),1,0)+IF(OR(CI18="Completed",CI18="In Progress",CI18="Not Started",CI18="Failed"),1,0)+IF(OR(CL18="Completed",CL18="In Progress",CL18="Not Started",CL18="Failed"),1,0)+IF(OR(CO18="Completed",CO18="In Progress",CO18="Not Started",CO18="Failed"),1,0)</f>
        <v/>
      </c>
      <c r="CS18">
        <f>IF(F18="Completed",1,0)+IF(I18="Completed",1,0)+IF(L18="Completed",1,0)+IF(O18="Completed",1,0)+IF(R18="Completed",1,0)+IF(U18="Completed",1,0)+IF(X18="Completed",1,0)+IF(AA18="Completed",1,0)+IF(AD18="Completed",1,0)+IF(AG18="Completed",1,0)+IF(AJ18="Completed",1,0)+IF(AM18="Completed",1,0)+IF(AP18="Completed",1,0)+IF(AS18="Completed",1,0)+IF(AV18="Completed",1,0)+IF(AY18="Completed",1,0)+IF(BB18="Completed",1,0)+IF(BE18="Completed",1,0)+IF(BH18="Completed",1,0)+IF(BK18="Completed",1,0)+IF(BN18="Completed",1,0)+IF(BQ18="Completed",1,0)+IF(BT18="Completed",1,0)+IF(BW18="Completed",1,0)+IF(BZ18="Completed",1,0)+IF(CC18="Completed",1,0)+IF(CF18="Completed",1,0)+IF(CI18="Completed",1,0)+IF(CL18="Completed",1,0)+IF(CO18="Completed",1,0)</f>
        <v/>
      </c>
      <c r="CT18" s="41">
        <f>IF(CR18=0,0,CS18/CR18)</f>
        <v/>
      </c>
      <c r="CU18" s="42">
        <f>IF((IF(H18&lt;&gt;"",1,0)+IF(K18&lt;&gt;"",1,0)+IF(N18&lt;&gt;"",1,0)+IF(Q18&lt;&gt;"",1,0)+IF(T18&lt;&gt;"",1,0)+IF(W18&lt;&gt;"",1,0)+IF(Z18&lt;&gt;"",1,0)+IF(AC18&lt;&gt;"",1,0)+IF(AF18&lt;&gt;"",1,0)+IF(AI18&lt;&gt;"",1,0)+IF(AL18&lt;&gt;"",1,0)+IF(AO18&lt;&gt;"",1,0)+IF(AR18&lt;&gt;"",1,0)+IF(AU18&lt;&gt;"",1,0)+IF(AX18&lt;&gt;"",1,0)+IF(BA18&lt;&gt;"",1,0)+IF(BD18&lt;&gt;"",1,0)+IF(BG18&lt;&gt;"",1,0)+IF(BJ18&lt;&gt;"",1,0)+IF(BM18&lt;&gt;"",1,0)+IF(BP18&lt;&gt;"",1,0)+IF(BS18&lt;&gt;"",1,0)+IF(BV18&lt;&gt;"",1,0)+IF(BY18&lt;&gt;"",1,0)+IF(CB18&lt;&gt;"",1,0)+IF(CE18&lt;&gt;"",1,0)+IF(CH18&lt;&gt;"",1,0)+IF(CK18&lt;&gt;"",1,0)+IF(CN18&lt;&gt;"",1,0)+IF(CQ18&lt;&gt;"",1,0))=0,0,(IF(H18&lt;&gt;"",H18,0)+IF(K18&lt;&gt;"",K18,0)+IF(N18&lt;&gt;"",N18,0)+IF(Q18&lt;&gt;"",Q18,0)+IF(T18&lt;&gt;"",T18,0)+IF(W18&lt;&gt;"",W18,0)+IF(Z18&lt;&gt;"",Z18,0)+IF(AC18&lt;&gt;"",AC18,0)+IF(AF18&lt;&gt;"",AF18,0)+IF(AI18&lt;&gt;"",AI18,0)+IF(AL18&lt;&gt;"",AL18,0)+IF(AO18&lt;&gt;"",AO18,0)+IF(AR18&lt;&gt;"",AR18,0)+IF(AU18&lt;&gt;"",AU18,0)+IF(AX18&lt;&gt;"",AX18,0)+IF(BA18&lt;&gt;"",BA18,0)+IF(BD18&lt;&gt;"",BD18,0)+IF(BG18&lt;&gt;"",BG18,0)+IF(BJ18&lt;&gt;"",BJ18,0)+IF(BM18&lt;&gt;"",BM18,0)+IF(BP18&lt;&gt;"",BP18,0)+IF(BS18&lt;&gt;"",BS18,0)+IF(BV18&lt;&gt;"",BV18,0)+IF(BY18&lt;&gt;"",BY18,0)+IF(CB18&lt;&gt;"",CB18,0)+IF(CE18&lt;&gt;"",CE18,0)+IF(CH18&lt;&gt;"",CH18,0)+IF(CK18&lt;&gt;"",CK18,0)+IF(CN18&lt;&gt;"",CN18,0)+IF(CQ18&lt;&gt;"",CQ18,0))/(IF(H18&lt;&gt;"",1,0)+IF(K18&lt;&gt;"",1,0)+IF(N18&lt;&gt;"",1,0)+IF(Q18&lt;&gt;"",1,0)+IF(T18&lt;&gt;"",1,0)+IF(W18&lt;&gt;"",1,0)+IF(Z18&lt;&gt;"",1,0)+IF(AC18&lt;&gt;"",1,0)+IF(AF18&lt;&gt;"",1,0)+IF(AI18&lt;&gt;"",1,0)+IF(AL18&lt;&gt;"",1,0)+IF(AO18&lt;&gt;"",1,0)+IF(AR18&lt;&gt;"",1,0)+IF(AU18&lt;&gt;"",1,0)+IF(AX18&lt;&gt;"",1,0)+IF(BA18&lt;&gt;"",1,0)+IF(BD18&lt;&gt;"",1,0)+IF(BG18&lt;&gt;"",1,0)+IF(BJ18&lt;&gt;"",1,0)+IF(BM18&lt;&gt;"",1,0)+IF(BP18&lt;&gt;"",1,0)+IF(BS18&lt;&gt;"",1,0)+IF(BV18&lt;&gt;"",1,0)+IF(BY18&lt;&gt;"",1,0)+IF(CB18&lt;&gt;"",1,0)+IF(CE18&lt;&gt;"",1,0)+IF(CH18&lt;&gt;"",1,0)+IF(CK18&lt;&gt;"",1,0)+IF(CN18&lt;&gt;"",1,0)+IF(CQ18&lt;&gt;"",1,0)))</f>
        <v/>
      </c>
      <c r="CV18">
        <f>IF(CT18&gt;=0.7,"Yes","No")</f>
        <v/>
      </c>
    </row>
    <row r="19">
      <c r="A19" s="37" t="inlineStr">
        <is>
          <t>EMP-018</t>
        </is>
      </c>
      <c r="B19" t="inlineStr">
        <is>
          <t>Natalie J. Rivera</t>
        </is>
      </c>
      <c r="C19" t="inlineStr">
        <is>
          <t>Senior Agent</t>
        </is>
      </c>
      <c r="D19" s="38" t="n">
        <v>46118</v>
      </c>
      <c r="E19" t="inlineStr">
        <is>
          <t>Interim</t>
        </is>
      </c>
      <c r="F19" s="39" t="inlineStr">
        <is>
          <t>Completed</t>
        </is>
      </c>
      <c r="G19" s="38" t="n">
        <v>46120</v>
      </c>
      <c r="H19" s="37" t="n">
        <v>88</v>
      </c>
      <c r="I19" s="39" t="inlineStr">
        <is>
          <t>Completed</t>
        </is>
      </c>
      <c r="J19" s="38" t="n">
        <v>46121</v>
      </c>
      <c r="K19" s="37" t="n">
        <v>84</v>
      </c>
      <c r="L19" s="39" t="inlineStr">
        <is>
          <t>Completed</t>
        </is>
      </c>
      <c r="M19" s="38" t="n">
        <v>46120</v>
      </c>
      <c r="N19" s="37" t="n">
        <v>86</v>
      </c>
      <c r="O19" s="44" t="inlineStr">
        <is>
          <t>Not Started</t>
        </is>
      </c>
      <c r="P19" s="38" t="inlineStr"/>
      <c r="Q19" s="37" t="inlineStr"/>
      <c r="R19" s="44" t="inlineStr">
        <is>
          <t>Not Started</t>
        </is>
      </c>
      <c r="S19" s="38" t="inlineStr"/>
      <c r="T19" s="37" t="inlineStr"/>
      <c r="U19" s="39" t="inlineStr">
        <is>
          <t>Completed</t>
        </is>
      </c>
      <c r="V19" s="38" t="n">
        <v>46120</v>
      </c>
      <c r="W19" s="37" t="n">
        <v>84</v>
      </c>
      <c r="X19" s="39" t="inlineStr">
        <is>
          <t>Completed</t>
        </is>
      </c>
      <c r="Y19" s="38" t="n">
        <v>46119</v>
      </c>
      <c r="Z19" s="37" t="n">
        <v>100</v>
      </c>
      <c r="AA19" s="44" t="inlineStr">
        <is>
          <t>Not Started</t>
        </is>
      </c>
      <c r="AB19" s="38" t="inlineStr"/>
      <c r="AC19" s="37" t="inlineStr"/>
      <c r="AD19" s="44" t="inlineStr">
        <is>
          <t>Not Started</t>
        </is>
      </c>
      <c r="AE19" s="38" t="inlineStr"/>
      <c r="AF19" s="37" t="inlineStr"/>
      <c r="AG19" s="44" t="inlineStr">
        <is>
          <t>Not Started</t>
        </is>
      </c>
      <c r="AH19" s="38" t="inlineStr"/>
      <c r="AI19" s="37" t="inlineStr"/>
      <c r="AJ19" s="44" t="inlineStr">
        <is>
          <t>Not Started</t>
        </is>
      </c>
      <c r="AK19" s="38" t="inlineStr"/>
      <c r="AL19" s="37" t="inlineStr"/>
      <c r="AM19" s="39" t="inlineStr">
        <is>
          <t>Completed</t>
        </is>
      </c>
      <c r="AN19" s="38" t="n">
        <v>46119</v>
      </c>
      <c r="AO19" s="37" t="n">
        <v>100</v>
      </c>
      <c r="AP19" s="44" t="inlineStr">
        <is>
          <t>Not Started</t>
        </is>
      </c>
      <c r="AQ19" s="38" t="inlineStr"/>
      <c r="AR19" s="37" t="inlineStr"/>
      <c r="AS19" s="44" t="inlineStr">
        <is>
          <t>Not Started</t>
        </is>
      </c>
      <c r="AT19" s="38" t="inlineStr"/>
      <c r="AU19" s="37" t="inlineStr"/>
      <c r="AV19" s="44" t="inlineStr">
        <is>
          <t>Not Started</t>
        </is>
      </c>
      <c r="AW19" s="38" t="inlineStr"/>
      <c r="AX19" s="37" t="inlineStr"/>
      <c r="AY19" s="44" t="inlineStr">
        <is>
          <t>Not Started</t>
        </is>
      </c>
      <c r="AZ19" s="38" t="inlineStr"/>
      <c r="BA19" s="37" t="inlineStr"/>
      <c r="BB19" s="44" t="inlineStr">
        <is>
          <t>Not Started</t>
        </is>
      </c>
      <c r="BC19" s="38" t="inlineStr"/>
      <c r="BD19" s="37" t="inlineStr"/>
      <c r="BE19" s="39" t="inlineStr">
        <is>
          <t>Completed</t>
        </is>
      </c>
      <c r="BF19" s="38" t="n">
        <v>46119</v>
      </c>
      <c r="BG19" s="37" t="inlineStr"/>
      <c r="BH19" s="44" t="inlineStr">
        <is>
          <t>Not Started</t>
        </is>
      </c>
      <c r="BI19" s="38" t="inlineStr"/>
      <c r="BJ19" s="37" t="inlineStr"/>
      <c r="BK19" s="44" t="inlineStr">
        <is>
          <t>Not Started</t>
        </is>
      </c>
      <c r="BL19" s="38" t="inlineStr"/>
      <c r="BM19" s="37" t="inlineStr"/>
      <c r="BN19" s="44" t="inlineStr">
        <is>
          <t>Not Started</t>
        </is>
      </c>
      <c r="BO19" s="38" t="inlineStr"/>
      <c r="BP19" s="37" t="inlineStr"/>
      <c r="BQ19" s="44" t="inlineStr">
        <is>
          <t>Not Started</t>
        </is>
      </c>
      <c r="BR19" s="38" t="inlineStr"/>
      <c r="BS19" s="37" t="inlineStr"/>
      <c r="BT19" s="44" t="inlineStr">
        <is>
          <t>Not Started</t>
        </is>
      </c>
      <c r="BU19" s="38" t="inlineStr"/>
      <c r="BV19" s="37" t="inlineStr"/>
      <c r="BW19" s="40" t="inlineStr">
        <is>
          <t>Exempt</t>
        </is>
      </c>
      <c r="BX19" s="38" t="inlineStr"/>
      <c r="BY19" s="37" t="inlineStr"/>
      <c r="BZ19" s="44" t="inlineStr">
        <is>
          <t>Not Started</t>
        </is>
      </c>
      <c r="CA19" s="38" t="inlineStr"/>
      <c r="CB19" s="37" t="inlineStr"/>
      <c r="CC19" s="44" t="inlineStr">
        <is>
          <t>Not Started</t>
        </is>
      </c>
      <c r="CD19" s="38" t="inlineStr"/>
      <c r="CE19" s="37" t="inlineStr"/>
      <c r="CF19" s="40" t="inlineStr">
        <is>
          <t>Exempt</t>
        </is>
      </c>
      <c r="CG19" s="38" t="inlineStr"/>
      <c r="CH19" s="37" t="inlineStr"/>
      <c r="CI19" s="40" t="inlineStr">
        <is>
          <t>Exempt</t>
        </is>
      </c>
      <c r="CJ19" s="38" t="inlineStr"/>
      <c r="CK19" s="37" t="inlineStr"/>
      <c r="CL19" s="40" t="inlineStr">
        <is>
          <t>Exempt</t>
        </is>
      </c>
      <c r="CM19" s="38" t="inlineStr"/>
      <c r="CN19" s="37" t="inlineStr"/>
      <c r="CO19" s="40" t="inlineStr">
        <is>
          <t>Exempt</t>
        </is>
      </c>
      <c r="CP19" s="38" t="inlineStr"/>
      <c r="CQ19" s="37" t="inlineStr"/>
      <c r="CR19">
        <f>IF(OR(F19="Completed",F19="In Progress",F19="Not Started",F19="Failed"),1,0)+IF(OR(I19="Completed",I19="In Progress",I19="Not Started",I19="Failed"),1,0)+IF(OR(L19="Completed",L19="In Progress",L19="Not Started",L19="Failed"),1,0)+IF(OR(O19="Completed",O19="In Progress",O19="Not Started",O19="Failed"),1,0)+IF(OR(R19="Completed",R19="In Progress",R19="Not Started",R19="Failed"),1,0)+IF(OR(U19="Completed",U19="In Progress",U19="Not Started",U19="Failed"),1,0)+IF(OR(X19="Completed",X19="In Progress",X19="Not Started",X19="Failed"),1,0)+IF(OR(AA19="Completed",AA19="In Progress",AA19="Not Started",AA19="Failed"),1,0)+IF(OR(AD19="Completed",AD19="In Progress",AD19="Not Started",AD19="Failed"),1,0)+IF(OR(AG19="Completed",AG19="In Progress",AG19="Not Started",AG19="Failed"),1,0)+IF(OR(AJ19="Completed",AJ19="In Progress",AJ19="Not Started",AJ19="Failed"),1,0)+IF(OR(AM19="Completed",AM19="In Progress",AM19="Not Started",AM19="Failed"),1,0)+IF(OR(AP19="Completed",AP19="In Progress",AP19="Not Started",AP19="Failed"),1,0)+IF(OR(AS19="Completed",AS19="In Progress",AS19="Not Started",AS19="Failed"),1,0)+IF(OR(AV19="Completed",AV19="In Progress",AV19="Not Started",AV19="Failed"),1,0)+IF(OR(AY19="Completed",AY19="In Progress",AY19="Not Started",AY19="Failed"),1,0)+IF(OR(BB19="Completed",BB19="In Progress",BB19="Not Started",BB19="Failed"),1,0)+IF(OR(BE19="Completed",BE19="In Progress",BE19="Not Started",BE19="Failed"),1,0)+IF(OR(BH19="Completed",BH19="In Progress",BH19="Not Started",BH19="Failed"),1,0)+IF(OR(BK19="Completed",BK19="In Progress",BK19="Not Started",BK19="Failed"),1,0)+IF(OR(BN19="Completed",BN19="In Progress",BN19="Not Started",BN19="Failed"),1,0)+IF(OR(BQ19="Completed",BQ19="In Progress",BQ19="Not Started",BQ19="Failed"),1,0)+IF(OR(BT19="Completed",BT19="In Progress",BT19="Not Started",BT19="Failed"),1,0)+IF(OR(BW19="Completed",BW19="In Progress",BW19="Not Started",BW19="Failed"),1,0)+IF(OR(BZ19="Completed",BZ19="In Progress",BZ19="Not Started",BZ19="Failed"),1,0)+IF(OR(CC19="Completed",CC19="In Progress",CC19="Not Started",CC19="Failed"),1,0)+IF(OR(CF19="Completed",CF19="In Progress",CF19="Not Started",CF19="Failed"),1,0)+IF(OR(CI19="Completed",CI19="In Progress",CI19="Not Started",CI19="Failed"),1,0)+IF(OR(CL19="Completed",CL19="In Progress",CL19="Not Started",CL19="Failed"),1,0)+IF(OR(CO19="Completed",CO19="In Progress",CO19="Not Started",CO19="Failed"),1,0)</f>
        <v/>
      </c>
      <c r="CS19">
        <f>IF(F19="Completed",1,0)+IF(I19="Completed",1,0)+IF(L19="Completed",1,0)+IF(O19="Completed",1,0)+IF(R19="Completed",1,0)+IF(U19="Completed",1,0)+IF(X19="Completed",1,0)+IF(AA19="Completed",1,0)+IF(AD19="Completed",1,0)+IF(AG19="Completed",1,0)+IF(AJ19="Completed",1,0)+IF(AM19="Completed",1,0)+IF(AP19="Completed",1,0)+IF(AS19="Completed",1,0)+IF(AV19="Completed",1,0)+IF(AY19="Completed",1,0)+IF(BB19="Completed",1,0)+IF(BE19="Completed",1,0)+IF(BH19="Completed",1,0)+IF(BK19="Completed",1,0)+IF(BN19="Completed",1,0)+IF(BQ19="Completed",1,0)+IF(BT19="Completed",1,0)+IF(BW19="Completed",1,0)+IF(BZ19="Completed",1,0)+IF(CC19="Completed",1,0)+IF(CF19="Completed",1,0)+IF(CI19="Completed",1,0)+IF(CL19="Completed",1,0)+IF(CO19="Completed",1,0)</f>
        <v/>
      </c>
      <c r="CT19" s="41">
        <f>IF(CR19=0,0,CS19/CR19)</f>
        <v/>
      </c>
      <c r="CU19" s="42">
        <f>IF((IF(H19&lt;&gt;"",1,0)+IF(K19&lt;&gt;"",1,0)+IF(N19&lt;&gt;"",1,0)+IF(Q19&lt;&gt;"",1,0)+IF(T19&lt;&gt;"",1,0)+IF(W19&lt;&gt;"",1,0)+IF(Z19&lt;&gt;"",1,0)+IF(AC19&lt;&gt;"",1,0)+IF(AF19&lt;&gt;"",1,0)+IF(AI19&lt;&gt;"",1,0)+IF(AL19&lt;&gt;"",1,0)+IF(AO19&lt;&gt;"",1,0)+IF(AR19&lt;&gt;"",1,0)+IF(AU19&lt;&gt;"",1,0)+IF(AX19&lt;&gt;"",1,0)+IF(BA19&lt;&gt;"",1,0)+IF(BD19&lt;&gt;"",1,0)+IF(BG19&lt;&gt;"",1,0)+IF(BJ19&lt;&gt;"",1,0)+IF(BM19&lt;&gt;"",1,0)+IF(BP19&lt;&gt;"",1,0)+IF(BS19&lt;&gt;"",1,0)+IF(BV19&lt;&gt;"",1,0)+IF(BY19&lt;&gt;"",1,0)+IF(CB19&lt;&gt;"",1,0)+IF(CE19&lt;&gt;"",1,0)+IF(CH19&lt;&gt;"",1,0)+IF(CK19&lt;&gt;"",1,0)+IF(CN19&lt;&gt;"",1,0)+IF(CQ19&lt;&gt;"",1,0))=0,0,(IF(H19&lt;&gt;"",H19,0)+IF(K19&lt;&gt;"",K19,0)+IF(N19&lt;&gt;"",N19,0)+IF(Q19&lt;&gt;"",Q19,0)+IF(T19&lt;&gt;"",T19,0)+IF(W19&lt;&gt;"",W19,0)+IF(Z19&lt;&gt;"",Z19,0)+IF(AC19&lt;&gt;"",AC19,0)+IF(AF19&lt;&gt;"",AF19,0)+IF(AI19&lt;&gt;"",AI19,0)+IF(AL19&lt;&gt;"",AL19,0)+IF(AO19&lt;&gt;"",AO19,0)+IF(AR19&lt;&gt;"",AR19,0)+IF(AU19&lt;&gt;"",AU19,0)+IF(AX19&lt;&gt;"",AX19,0)+IF(BA19&lt;&gt;"",BA19,0)+IF(BD19&lt;&gt;"",BD19,0)+IF(BG19&lt;&gt;"",BG19,0)+IF(BJ19&lt;&gt;"",BJ19,0)+IF(BM19&lt;&gt;"",BM19,0)+IF(BP19&lt;&gt;"",BP19,0)+IF(BS19&lt;&gt;"",BS19,0)+IF(BV19&lt;&gt;"",BV19,0)+IF(BY19&lt;&gt;"",BY19,0)+IF(CB19&lt;&gt;"",CB19,0)+IF(CE19&lt;&gt;"",CE19,0)+IF(CH19&lt;&gt;"",CH19,0)+IF(CK19&lt;&gt;"",CK19,0)+IF(CN19&lt;&gt;"",CN19,0)+IF(CQ19&lt;&gt;"",CQ19,0))/(IF(H19&lt;&gt;"",1,0)+IF(K19&lt;&gt;"",1,0)+IF(N19&lt;&gt;"",1,0)+IF(Q19&lt;&gt;"",1,0)+IF(T19&lt;&gt;"",1,0)+IF(W19&lt;&gt;"",1,0)+IF(Z19&lt;&gt;"",1,0)+IF(AC19&lt;&gt;"",1,0)+IF(AF19&lt;&gt;"",1,0)+IF(AI19&lt;&gt;"",1,0)+IF(AL19&lt;&gt;"",1,0)+IF(AO19&lt;&gt;"",1,0)+IF(AR19&lt;&gt;"",1,0)+IF(AU19&lt;&gt;"",1,0)+IF(AX19&lt;&gt;"",1,0)+IF(BA19&lt;&gt;"",1,0)+IF(BD19&lt;&gt;"",1,0)+IF(BG19&lt;&gt;"",1,0)+IF(BJ19&lt;&gt;"",1,0)+IF(BM19&lt;&gt;"",1,0)+IF(BP19&lt;&gt;"",1,0)+IF(BS19&lt;&gt;"",1,0)+IF(BV19&lt;&gt;"",1,0)+IF(BY19&lt;&gt;"",1,0)+IF(CB19&lt;&gt;"",1,0)+IF(CE19&lt;&gt;"",1,0)+IF(CH19&lt;&gt;"",1,0)+IF(CK19&lt;&gt;"",1,0)+IF(CN19&lt;&gt;"",1,0)+IF(CQ19&lt;&gt;"",1,0)))</f>
        <v/>
      </c>
      <c r="CV19">
        <f>IF(CT19&gt;=0.7,"Yes","No")</f>
        <v/>
      </c>
    </row>
    <row r="20">
      <c r="A20" s="37" t="inlineStr">
        <is>
          <t>EMP-019</t>
        </is>
      </c>
      <c r="B20" t="inlineStr">
        <is>
          <t>Daniel P. Clarke</t>
        </is>
      </c>
      <c r="C20" t="inlineStr">
        <is>
          <t>Agent</t>
        </is>
      </c>
      <c r="D20" s="38" t="n">
        <v>46125</v>
      </c>
      <c r="E20" t="inlineStr">
        <is>
          <t>Pending</t>
        </is>
      </c>
      <c r="F20" s="39" t="inlineStr">
        <is>
          <t>Completed</t>
        </is>
      </c>
      <c r="G20" s="38" t="n">
        <v>46127</v>
      </c>
      <c r="H20" s="37" t="n">
        <v>82</v>
      </c>
      <c r="I20" s="45" t="inlineStr">
        <is>
          <t>Failed</t>
        </is>
      </c>
      <c r="J20" s="38" t="n">
        <v>46127</v>
      </c>
      <c r="K20" s="37" t="n">
        <v>72</v>
      </c>
      <c r="L20" s="39" t="inlineStr">
        <is>
          <t>Completed</t>
        </is>
      </c>
      <c r="M20" s="38" t="n">
        <v>46126</v>
      </c>
      <c r="N20" s="37" t="n">
        <v>80</v>
      </c>
      <c r="O20" s="44" t="inlineStr">
        <is>
          <t>Not Started</t>
        </is>
      </c>
      <c r="P20" s="38" t="inlineStr"/>
      <c r="Q20" s="37" t="inlineStr"/>
      <c r="R20" s="44" t="inlineStr">
        <is>
          <t>Not Started</t>
        </is>
      </c>
      <c r="S20" s="38" t="inlineStr"/>
      <c r="T20" s="37" t="inlineStr"/>
      <c r="U20" s="43" t="inlineStr">
        <is>
          <t>In Progress</t>
        </is>
      </c>
      <c r="V20" s="38" t="inlineStr"/>
      <c r="W20" s="37" t="inlineStr"/>
      <c r="X20" s="39" t="inlineStr">
        <is>
          <t>Completed</t>
        </is>
      </c>
      <c r="Y20" s="38" t="n">
        <v>46126</v>
      </c>
      <c r="Z20" s="37" t="n">
        <v>100</v>
      </c>
      <c r="AA20" s="44" t="inlineStr">
        <is>
          <t>Not Started</t>
        </is>
      </c>
      <c r="AB20" s="38" t="inlineStr"/>
      <c r="AC20" s="37" t="inlineStr"/>
      <c r="AD20" s="44" t="inlineStr">
        <is>
          <t>Not Started</t>
        </is>
      </c>
      <c r="AE20" s="38" t="inlineStr"/>
      <c r="AF20" s="37" t="inlineStr"/>
      <c r="AG20" s="44" t="inlineStr">
        <is>
          <t>Not Started</t>
        </is>
      </c>
      <c r="AH20" s="38" t="inlineStr"/>
      <c r="AI20" s="37" t="inlineStr"/>
      <c r="AJ20" s="40" t="inlineStr">
        <is>
          <t>Exempt</t>
        </is>
      </c>
      <c r="AK20" s="38" t="inlineStr"/>
      <c r="AL20" s="37" t="inlineStr"/>
      <c r="AM20" s="39" t="inlineStr">
        <is>
          <t>Completed</t>
        </is>
      </c>
      <c r="AN20" s="38" t="n">
        <v>46126</v>
      </c>
      <c r="AO20" s="37" t="n">
        <v>100</v>
      </c>
      <c r="AP20" s="44" t="inlineStr">
        <is>
          <t>Not Started</t>
        </is>
      </c>
      <c r="AQ20" s="38" t="inlineStr"/>
      <c r="AR20" s="37" t="inlineStr"/>
      <c r="AS20" s="44" t="inlineStr">
        <is>
          <t>Not Started</t>
        </is>
      </c>
      <c r="AT20" s="38" t="inlineStr"/>
      <c r="AU20" s="37" t="inlineStr"/>
      <c r="AV20" s="44" t="inlineStr">
        <is>
          <t>Not Started</t>
        </is>
      </c>
      <c r="AW20" s="38" t="inlineStr"/>
      <c r="AX20" s="37" t="inlineStr"/>
      <c r="AY20" s="44" t="inlineStr">
        <is>
          <t>Not Started</t>
        </is>
      </c>
      <c r="AZ20" s="38" t="inlineStr"/>
      <c r="BA20" s="37" t="inlineStr"/>
      <c r="BB20" s="44" t="inlineStr">
        <is>
          <t>Not Started</t>
        </is>
      </c>
      <c r="BC20" s="38" t="inlineStr"/>
      <c r="BD20" s="37" t="inlineStr"/>
      <c r="BE20" s="43" t="inlineStr">
        <is>
          <t>In Progress</t>
        </is>
      </c>
      <c r="BF20" s="38" t="inlineStr"/>
      <c r="BG20" s="37" t="inlineStr"/>
      <c r="BH20" s="44" t="inlineStr">
        <is>
          <t>Not Started</t>
        </is>
      </c>
      <c r="BI20" s="38" t="inlineStr"/>
      <c r="BJ20" s="37" t="inlineStr"/>
      <c r="BK20" s="44" t="inlineStr">
        <is>
          <t>Not Started</t>
        </is>
      </c>
      <c r="BL20" s="38" t="inlineStr"/>
      <c r="BM20" s="37" t="inlineStr"/>
      <c r="BN20" s="44" t="inlineStr">
        <is>
          <t>Not Started</t>
        </is>
      </c>
      <c r="BO20" s="38" t="inlineStr"/>
      <c r="BP20" s="37" t="inlineStr"/>
      <c r="BQ20" s="44" t="inlineStr">
        <is>
          <t>Not Started</t>
        </is>
      </c>
      <c r="BR20" s="38" t="inlineStr"/>
      <c r="BS20" s="37" t="inlineStr"/>
      <c r="BT20" s="44" t="inlineStr">
        <is>
          <t>Not Started</t>
        </is>
      </c>
      <c r="BU20" s="38" t="inlineStr"/>
      <c r="BV20" s="37" t="inlineStr"/>
      <c r="BW20" s="40" t="inlineStr">
        <is>
          <t>Exempt</t>
        </is>
      </c>
      <c r="BX20" s="38" t="inlineStr"/>
      <c r="BY20" s="37" t="inlineStr"/>
      <c r="BZ20" s="44" t="inlineStr">
        <is>
          <t>Not Started</t>
        </is>
      </c>
      <c r="CA20" s="38" t="inlineStr"/>
      <c r="CB20" s="37" t="inlineStr"/>
      <c r="CC20" s="40" t="inlineStr">
        <is>
          <t>Exempt</t>
        </is>
      </c>
      <c r="CD20" s="38" t="inlineStr"/>
      <c r="CE20" s="37" t="inlineStr"/>
      <c r="CF20" s="40" t="inlineStr">
        <is>
          <t>Exempt</t>
        </is>
      </c>
      <c r="CG20" s="38" t="inlineStr"/>
      <c r="CH20" s="37" t="inlineStr"/>
      <c r="CI20" s="40" t="inlineStr">
        <is>
          <t>Exempt</t>
        </is>
      </c>
      <c r="CJ20" s="38" t="inlineStr"/>
      <c r="CK20" s="37" t="inlineStr"/>
      <c r="CL20" s="40" t="inlineStr">
        <is>
          <t>Exempt</t>
        </is>
      </c>
      <c r="CM20" s="38" t="inlineStr"/>
      <c r="CN20" s="37" t="inlineStr"/>
      <c r="CO20" s="40" t="inlineStr">
        <is>
          <t>Exempt</t>
        </is>
      </c>
      <c r="CP20" s="38" t="inlineStr"/>
      <c r="CQ20" s="37" t="inlineStr"/>
      <c r="CR20">
        <f>IF(OR(F20="Completed",F20="In Progress",F20="Not Started",F20="Failed"),1,0)+IF(OR(I20="Completed",I20="In Progress",I20="Not Started",I20="Failed"),1,0)+IF(OR(L20="Completed",L20="In Progress",L20="Not Started",L20="Failed"),1,0)+IF(OR(O20="Completed",O20="In Progress",O20="Not Started",O20="Failed"),1,0)+IF(OR(R20="Completed",R20="In Progress",R20="Not Started",R20="Failed"),1,0)+IF(OR(U20="Completed",U20="In Progress",U20="Not Started",U20="Failed"),1,0)+IF(OR(X20="Completed",X20="In Progress",X20="Not Started",X20="Failed"),1,0)+IF(OR(AA20="Completed",AA20="In Progress",AA20="Not Started",AA20="Failed"),1,0)+IF(OR(AD20="Completed",AD20="In Progress",AD20="Not Started",AD20="Failed"),1,0)+IF(OR(AG20="Completed",AG20="In Progress",AG20="Not Started",AG20="Failed"),1,0)+IF(OR(AJ20="Completed",AJ20="In Progress",AJ20="Not Started",AJ20="Failed"),1,0)+IF(OR(AM20="Completed",AM20="In Progress",AM20="Not Started",AM20="Failed"),1,0)+IF(OR(AP20="Completed",AP20="In Progress",AP20="Not Started",AP20="Failed"),1,0)+IF(OR(AS20="Completed",AS20="In Progress",AS20="Not Started",AS20="Failed"),1,0)+IF(OR(AV20="Completed",AV20="In Progress",AV20="Not Started",AV20="Failed"),1,0)+IF(OR(AY20="Completed",AY20="In Progress",AY20="Not Started",AY20="Failed"),1,0)+IF(OR(BB20="Completed",BB20="In Progress",BB20="Not Started",BB20="Failed"),1,0)+IF(OR(BE20="Completed",BE20="In Progress",BE20="Not Started",BE20="Failed"),1,0)+IF(OR(BH20="Completed",BH20="In Progress",BH20="Not Started",BH20="Failed"),1,0)+IF(OR(BK20="Completed",BK20="In Progress",BK20="Not Started",BK20="Failed"),1,0)+IF(OR(BN20="Completed",BN20="In Progress",BN20="Not Started",BN20="Failed"),1,0)+IF(OR(BQ20="Completed",BQ20="In Progress",BQ20="Not Started",BQ20="Failed"),1,0)+IF(OR(BT20="Completed",BT20="In Progress",BT20="Not Started",BT20="Failed"),1,0)+IF(OR(BW20="Completed",BW20="In Progress",BW20="Not Started",BW20="Failed"),1,0)+IF(OR(BZ20="Completed",BZ20="In Progress",BZ20="Not Started",BZ20="Failed"),1,0)+IF(OR(CC20="Completed",CC20="In Progress",CC20="Not Started",CC20="Failed"),1,0)+IF(OR(CF20="Completed",CF20="In Progress",CF20="Not Started",CF20="Failed"),1,0)+IF(OR(CI20="Completed",CI20="In Progress",CI20="Not Started",CI20="Failed"),1,0)+IF(OR(CL20="Completed",CL20="In Progress",CL20="Not Started",CL20="Failed"),1,0)+IF(OR(CO20="Completed",CO20="In Progress",CO20="Not Started",CO20="Failed"),1,0)</f>
        <v/>
      </c>
      <c r="CS20">
        <f>IF(F20="Completed",1,0)+IF(I20="Completed",1,0)+IF(L20="Completed",1,0)+IF(O20="Completed",1,0)+IF(R20="Completed",1,0)+IF(U20="Completed",1,0)+IF(X20="Completed",1,0)+IF(AA20="Completed",1,0)+IF(AD20="Completed",1,0)+IF(AG20="Completed",1,0)+IF(AJ20="Completed",1,0)+IF(AM20="Completed",1,0)+IF(AP20="Completed",1,0)+IF(AS20="Completed",1,0)+IF(AV20="Completed",1,0)+IF(AY20="Completed",1,0)+IF(BB20="Completed",1,0)+IF(BE20="Completed",1,0)+IF(BH20="Completed",1,0)+IF(BK20="Completed",1,0)+IF(BN20="Completed",1,0)+IF(BQ20="Completed",1,0)+IF(BT20="Completed",1,0)+IF(BW20="Completed",1,0)+IF(BZ20="Completed",1,0)+IF(CC20="Completed",1,0)+IF(CF20="Completed",1,0)+IF(CI20="Completed",1,0)+IF(CL20="Completed",1,0)+IF(CO20="Completed",1,0)</f>
        <v/>
      </c>
      <c r="CT20" s="41">
        <f>IF(CR20=0,0,CS20/CR20)</f>
        <v/>
      </c>
      <c r="CU20" s="42">
        <f>IF((IF(H20&lt;&gt;"",1,0)+IF(K20&lt;&gt;"",1,0)+IF(N20&lt;&gt;"",1,0)+IF(Q20&lt;&gt;"",1,0)+IF(T20&lt;&gt;"",1,0)+IF(W20&lt;&gt;"",1,0)+IF(Z20&lt;&gt;"",1,0)+IF(AC20&lt;&gt;"",1,0)+IF(AF20&lt;&gt;"",1,0)+IF(AI20&lt;&gt;"",1,0)+IF(AL20&lt;&gt;"",1,0)+IF(AO20&lt;&gt;"",1,0)+IF(AR20&lt;&gt;"",1,0)+IF(AU20&lt;&gt;"",1,0)+IF(AX20&lt;&gt;"",1,0)+IF(BA20&lt;&gt;"",1,0)+IF(BD20&lt;&gt;"",1,0)+IF(BG20&lt;&gt;"",1,0)+IF(BJ20&lt;&gt;"",1,0)+IF(BM20&lt;&gt;"",1,0)+IF(BP20&lt;&gt;"",1,0)+IF(BS20&lt;&gt;"",1,0)+IF(BV20&lt;&gt;"",1,0)+IF(BY20&lt;&gt;"",1,0)+IF(CB20&lt;&gt;"",1,0)+IF(CE20&lt;&gt;"",1,0)+IF(CH20&lt;&gt;"",1,0)+IF(CK20&lt;&gt;"",1,0)+IF(CN20&lt;&gt;"",1,0)+IF(CQ20&lt;&gt;"",1,0))=0,0,(IF(H20&lt;&gt;"",H20,0)+IF(K20&lt;&gt;"",K20,0)+IF(N20&lt;&gt;"",N20,0)+IF(Q20&lt;&gt;"",Q20,0)+IF(T20&lt;&gt;"",T20,0)+IF(W20&lt;&gt;"",W20,0)+IF(Z20&lt;&gt;"",Z20,0)+IF(AC20&lt;&gt;"",AC20,0)+IF(AF20&lt;&gt;"",AF20,0)+IF(AI20&lt;&gt;"",AI20,0)+IF(AL20&lt;&gt;"",AL20,0)+IF(AO20&lt;&gt;"",AO20,0)+IF(AR20&lt;&gt;"",AR20,0)+IF(AU20&lt;&gt;"",AU20,0)+IF(AX20&lt;&gt;"",AX20,0)+IF(BA20&lt;&gt;"",BA20,0)+IF(BD20&lt;&gt;"",BD20,0)+IF(BG20&lt;&gt;"",BG20,0)+IF(BJ20&lt;&gt;"",BJ20,0)+IF(BM20&lt;&gt;"",BM20,0)+IF(BP20&lt;&gt;"",BP20,0)+IF(BS20&lt;&gt;"",BS20,0)+IF(BV20&lt;&gt;"",BV20,0)+IF(BY20&lt;&gt;"",BY20,0)+IF(CB20&lt;&gt;"",CB20,0)+IF(CE20&lt;&gt;"",CE20,0)+IF(CH20&lt;&gt;"",CH20,0)+IF(CK20&lt;&gt;"",CK20,0)+IF(CN20&lt;&gt;"",CN20,0)+IF(CQ20&lt;&gt;"",CQ20,0))/(IF(H20&lt;&gt;"",1,0)+IF(K20&lt;&gt;"",1,0)+IF(N20&lt;&gt;"",1,0)+IF(Q20&lt;&gt;"",1,0)+IF(T20&lt;&gt;"",1,0)+IF(W20&lt;&gt;"",1,0)+IF(Z20&lt;&gt;"",1,0)+IF(AC20&lt;&gt;"",1,0)+IF(AF20&lt;&gt;"",1,0)+IF(AI20&lt;&gt;"",1,0)+IF(AL20&lt;&gt;"",1,0)+IF(AO20&lt;&gt;"",1,0)+IF(AR20&lt;&gt;"",1,0)+IF(AU20&lt;&gt;"",1,0)+IF(AX20&lt;&gt;"",1,0)+IF(BA20&lt;&gt;"",1,0)+IF(BD20&lt;&gt;"",1,0)+IF(BG20&lt;&gt;"",1,0)+IF(BJ20&lt;&gt;"",1,0)+IF(BM20&lt;&gt;"",1,0)+IF(BP20&lt;&gt;"",1,0)+IF(BS20&lt;&gt;"",1,0)+IF(BV20&lt;&gt;"",1,0)+IF(BY20&lt;&gt;"",1,0)+IF(CB20&lt;&gt;"",1,0)+IF(CE20&lt;&gt;"",1,0)+IF(CH20&lt;&gt;"",1,0)+IF(CK20&lt;&gt;"",1,0)+IF(CN20&lt;&gt;"",1,0)+IF(CQ20&lt;&gt;"",1,0)))</f>
        <v/>
      </c>
      <c r="CV20">
        <f>IF(CT20&gt;=0.7,"Yes","No")</f>
        <v/>
      </c>
    </row>
    <row r="21">
      <c r="A21" s="37" t="inlineStr">
        <is>
          <t>EMP-020</t>
        </is>
      </c>
      <c r="B21" t="inlineStr">
        <is>
          <t>Samantha H. Foster</t>
        </is>
      </c>
      <c r="C21" t="inlineStr">
        <is>
          <t>Agent</t>
        </is>
      </c>
      <c r="D21" s="38" t="n">
        <v>46125</v>
      </c>
      <c r="E21" t="inlineStr">
        <is>
          <t>Pending</t>
        </is>
      </c>
      <c r="F21" s="39" t="inlineStr">
        <is>
          <t>Completed</t>
        </is>
      </c>
      <c r="G21" s="38" t="n">
        <v>46128</v>
      </c>
      <c r="H21" s="37" t="n">
        <v>80</v>
      </c>
      <c r="I21" s="43" t="inlineStr">
        <is>
          <t>In Progress</t>
        </is>
      </c>
      <c r="J21" s="38" t="inlineStr"/>
      <c r="K21" s="37" t="inlineStr"/>
      <c r="L21" s="43" t="inlineStr">
        <is>
          <t>In Progress</t>
        </is>
      </c>
      <c r="M21" s="38" t="inlineStr"/>
      <c r="N21" s="37" t="inlineStr"/>
      <c r="O21" s="44" t="inlineStr">
        <is>
          <t>Not Started</t>
        </is>
      </c>
      <c r="P21" s="38" t="inlineStr"/>
      <c r="Q21" s="37" t="inlineStr"/>
      <c r="R21" s="44" t="inlineStr">
        <is>
          <t>Not Started</t>
        </is>
      </c>
      <c r="S21" s="38" t="inlineStr"/>
      <c r="T21" s="37" t="inlineStr"/>
      <c r="U21" s="44" t="inlineStr">
        <is>
          <t>Not Started</t>
        </is>
      </c>
      <c r="V21" s="38" t="inlineStr"/>
      <c r="W21" s="37" t="inlineStr"/>
      <c r="X21" s="39" t="inlineStr">
        <is>
          <t>Completed</t>
        </is>
      </c>
      <c r="Y21" s="38" t="n">
        <v>46127</v>
      </c>
      <c r="Z21" s="37" t="n">
        <v>100</v>
      </c>
      <c r="AA21" s="44" t="inlineStr">
        <is>
          <t>Not Started</t>
        </is>
      </c>
      <c r="AB21" s="38" t="inlineStr"/>
      <c r="AC21" s="37" t="inlineStr"/>
      <c r="AD21" s="44" t="inlineStr">
        <is>
          <t>Not Started</t>
        </is>
      </c>
      <c r="AE21" s="38" t="inlineStr"/>
      <c r="AF21" s="37" t="inlineStr"/>
      <c r="AG21" s="44" t="inlineStr">
        <is>
          <t>Not Started</t>
        </is>
      </c>
      <c r="AH21" s="38" t="inlineStr"/>
      <c r="AI21" s="37" t="inlineStr"/>
      <c r="AJ21" s="40" t="inlineStr">
        <is>
          <t>Exempt</t>
        </is>
      </c>
      <c r="AK21" s="38" t="inlineStr"/>
      <c r="AL21" s="37" t="inlineStr"/>
      <c r="AM21" s="39" t="inlineStr">
        <is>
          <t>Completed</t>
        </is>
      </c>
      <c r="AN21" s="38" t="n">
        <v>46127</v>
      </c>
      <c r="AO21" s="37" t="n">
        <v>100</v>
      </c>
      <c r="AP21" s="44" t="inlineStr">
        <is>
          <t>Not Started</t>
        </is>
      </c>
      <c r="AQ21" s="38" t="inlineStr"/>
      <c r="AR21" s="37" t="inlineStr"/>
      <c r="AS21" s="44" t="inlineStr">
        <is>
          <t>Not Started</t>
        </is>
      </c>
      <c r="AT21" s="38" t="inlineStr"/>
      <c r="AU21" s="37" t="inlineStr"/>
      <c r="AV21" s="44" t="inlineStr">
        <is>
          <t>Not Started</t>
        </is>
      </c>
      <c r="AW21" s="38" t="inlineStr"/>
      <c r="AX21" s="37" t="inlineStr"/>
      <c r="AY21" s="44" t="inlineStr">
        <is>
          <t>Not Started</t>
        </is>
      </c>
      <c r="AZ21" s="38" t="inlineStr"/>
      <c r="BA21" s="37" t="inlineStr"/>
      <c r="BB21" s="44" t="inlineStr">
        <is>
          <t>Not Started</t>
        </is>
      </c>
      <c r="BC21" s="38" t="inlineStr"/>
      <c r="BD21" s="37" t="inlineStr"/>
      <c r="BE21" s="44" t="inlineStr">
        <is>
          <t>Not Started</t>
        </is>
      </c>
      <c r="BF21" s="38" t="inlineStr"/>
      <c r="BG21" s="37" t="inlineStr"/>
      <c r="BH21" s="44" t="inlineStr">
        <is>
          <t>Not Started</t>
        </is>
      </c>
      <c r="BI21" s="38" t="inlineStr"/>
      <c r="BJ21" s="37" t="inlineStr"/>
      <c r="BK21" s="44" t="inlineStr">
        <is>
          <t>Not Started</t>
        </is>
      </c>
      <c r="BL21" s="38" t="inlineStr"/>
      <c r="BM21" s="37" t="inlineStr"/>
      <c r="BN21" s="44" t="inlineStr">
        <is>
          <t>Not Started</t>
        </is>
      </c>
      <c r="BO21" s="38" t="inlineStr"/>
      <c r="BP21" s="37" t="inlineStr"/>
      <c r="BQ21" s="44" t="inlineStr">
        <is>
          <t>Not Started</t>
        </is>
      </c>
      <c r="BR21" s="38" t="inlineStr"/>
      <c r="BS21" s="37" t="inlineStr"/>
      <c r="BT21" s="44" t="inlineStr">
        <is>
          <t>Not Started</t>
        </is>
      </c>
      <c r="BU21" s="38" t="inlineStr"/>
      <c r="BV21" s="37" t="inlineStr"/>
      <c r="BW21" s="40" t="inlineStr">
        <is>
          <t>Exempt</t>
        </is>
      </c>
      <c r="BX21" s="38" t="inlineStr"/>
      <c r="BY21" s="37" t="inlineStr"/>
      <c r="BZ21" s="44" t="inlineStr">
        <is>
          <t>Not Started</t>
        </is>
      </c>
      <c r="CA21" s="38" t="inlineStr"/>
      <c r="CB21" s="37" t="inlineStr"/>
      <c r="CC21" s="40" t="inlineStr">
        <is>
          <t>Exempt</t>
        </is>
      </c>
      <c r="CD21" s="38" t="inlineStr"/>
      <c r="CE21" s="37" t="inlineStr"/>
      <c r="CF21" s="40" t="inlineStr">
        <is>
          <t>Exempt</t>
        </is>
      </c>
      <c r="CG21" s="38" t="inlineStr"/>
      <c r="CH21" s="37" t="inlineStr"/>
      <c r="CI21" s="40" t="inlineStr">
        <is>
          <t>Exempt</t>
        </is>
      </c>
      <c r="CJ21" s="38" t="inlineStr"/>
      <c r="CK21" s="37" t="inlineStr"/>
      <c r="CL21" s="40" t="inlineStr">
        <is>
          <t>Exempt</t>
        </is>
      </c>
      <c r="CM21" s="38" t="inlineStr"/>
      <c r="CN21" s="37" t="inlineStr"/>
      <c r="CO21" s="40" t="inlineStr">
        <is>
          <t>Exempt</t>
        </is>
      </c>
      <c r="CP21" s="38" t="inlineStr"/>
      <c r="CQ21" s="37" t="inlineStr"/>
      <c r="CR21">
        <f>IF(OR(F21="Completed",F21="In Progress",F21="Not Started",F21="Failed"),1,0)+IF(OR(I21="Completed",I21="In Progress",I21="Not Started",I21="Failed"),1,0)+IF(OR(L21="Completed",L21="In Progress",L21="Not Started",L21="Failed"),1,0)+IF(OR(O21="Completed",O21="In Progress",O21="Not Started",O21="Failed"),1,0)+IF(OR(R21="Completed",R21="In Progress",R21="Not Started",R21="Failed"),1,0)+IF(OR(U21="Completed",U21="In Progress",U21="Not Started",U21="Failed"),1,0)+IF(OR(X21="Completed",X21="In Progress",X21="Not Started",X21="Failed"),1,0)+IF(OR(AA21="Completed",AA21="In Progress",AA21="Not Started",AA21="Failed"),1,0)+IF(OR(AD21="Completed",AD21="In Progress",AD21="Not Started",AD21="Failed"),1,0)+IF(OR(AG21="Completed",AG21="In Progress",AG21="Not Started",AG21="Failed"),1,0)+IF(OR(AJ21="Completed",AJ21="In Progress",AJ21="Not Started",AJ21="Failed"),1,0)+IF(OR(AM21="Completed",AM21="In Progress",AM21="Not Started",AM21="Failed"),1,0)+IF(OR(AP21="Completed",AP21="In Progress",AP21="Not Started",AP21="Failed"),1,0)+IF(OR(AS21="Completed",AS21="In Progress",AS21="Not Started",AS21="Failed"),1,0)+IF(OR(AV21="Completed",AV21="In Progress",AV21="Not Started",AV21="Failed"),1,0)+IF(OR(AY21="Completed",AY21="In Progress",AY21="Not Started",AY21="Failed"),1,0)+IF(OR(BB21="Completed",BB21="In Progress",BB21="Not Started",BB21="Failed"),1,0)+IF(OR(BE21="Completed",BE21="In Progress",BE21="Not Started",BE21="Failed"),1,0)+IF(OR(BH21="Completed",BH21="In Progress",BH21="Not Started",BH21="Failed"),1,0)+IF(OR(BK21="Completed",BK21="In Progress",BK21="Not Started",BK21="Failed"),1,0)+IF(OR(BN21="Completed",BN21="In Progress",BN21="Not Started",BN21="Failed"),1,0)+IF(OR(BQ21="Completed",BQ21="In Progress",BQ21="Not Started",BQ21="Failed"),1,0)+IF(OR(BT21="Completed",BT21="In Progress",BT21="Not Started",BT21="Failed"),1,0)+IF(OR(BW21="Completed",BW21="In Progress",BW21="Not Started",BW21="Failed"),1,0)+IF(OR(BZ21="Completed",BZ21="In Progress",BZ21="Not Started",BZ21="Failed"),1,0)+IF(OR(CC21="Completed",CC21="In Progress",CC21="Not Started",CC21="Failed"),1,0)+IF(OR(CF21="Completed",CF21="In Progress",CF21="Not Started",CF21="Failed"),1,0)+IF(OR(CI21="Completed",CI21="In Progress",CI21="Not Started",CI21="Failed"),1,0)+IF(OR(CL21="Completed",CL21="In Progress",CL21="Not Started",CL21="Failed"),1,0)+IF(OR(CO21="Completed",CO21="In Progress",CO21="Not Started",CO21="Failed"),1,0)</f>
        <v/>
      </c>
      <c r="CS21">
        <f>IF(F21="Completed",1,0)+IF(I21="Completed",1,0)+IF(L21="Completed",1,0)+IF(O21="Completed",1,0)+IF(R21="Completed",1,0)+IF(U21="Completed",1,0)+IF(X21="Completed",1,0)+IF(AA21="Completed",1,0)+IF(AD21="Completed",1,0)+IF(AG21="Completed",1,0)+IF(AJ21="Completed",1,0)+IF(AM21="Completed",1,0)+IF(AP21="Completed",1,0)+IF(AS21="Completed",1,0)+IF(AV21="Completed",1,0)+IF(AY21="Completed",1,0)+IF(BB21="Completed",1,0)+IF(BE21="Completed",1,0)+IF(BH21="Completed",1,0)+IF(BK21="Completed",1,0)+IF(BN21="Completed",1,0)+IF(BQ21="Completed",1,0)+IF(BT21="Completed",1,0)+IF(BW21="Completed",1,0)+IF(BZ21="Completed",1,0)+IF(CC21="Completed",1,0)+IF(CF21="Completed",1,0)+IF(CI21="Completed",1,0)+IF(CL21="Completed",1,0)+IF(CO21="Completed",1,0)</f>
        <v/>
      </c>
      <c r="CT21" s="41">
        <f>IF(CR21=0,0,CS21/CR21)</f>
        <v/>
      </c>
      <c r="CU21" s="42">
        <f>IF((IF(H21&lt;&gt;"",1,0)+IF(K21&lt;&gt;"",1,0)+IF(N21&lt;&gt;"",1,0)+IF(Q21&lt;&gt;"",1,0)+IF(T21&lt;&gt;"",1,0)+IF(W21&lt;&gt;"",1,0)+IF(Z21&lt;&gt;"",1,0)+IF(AC21&lt;&gt;"",1,0)+IF(AF21&lt;&gt;"",1,0)+IF(AI21&lt;&gt;"",1,0)+IF(AL21&lt;&gt;"",1,0)+IF(AO21&lt;&gt;"",1,0)+IF(AR21&lt;&gt;"",1,0)+IF(AU21&lt;&gt;"",1,0)+IF(AX21&lt;&gt;"",1,0)+IF(BA21&lt;&gt;"",1,0)+IF(BD21&lt;&gt;"",1,0)+IF(BG21&lt;&gt;"",1,0)+IF(BJ21&lt;&gt;"",1,0)+IF(BM21&lt;&gt;"",1,0)+IF(BP21&lt;&gt;"",1,0)+IF(BS21&lt;&gt;"",1,0)+IF(BV21&lt;&gt;"",1,0)+IF(BY21&lt;&gt;"",1,0)+IF(CB21&lt;&gt;"",1,0)+IF(CE21&lt;&gt;"",1,0)+IF(CH21&lt;&gt;"",1,0)+IF(CK21&lt;&gt;"",1,0)+IF(CN21&lt;&gt;"",1,0)+IF(CQ21&lt;&gt;"",1,0))=0,0,(IF(H21&lt;&gt;"",H21,0)+IF(K21&lt;&gt;"",K21,0)+IF(N21&lt;&gt;"",N21,0)+IF(Q21&lt;&gt;"",Q21,0)+IF(T21&lt;&gt;"",T21,0)+IF(W21&lt;&gt;"",W21,0)+IF(Z21&lt;&gt;"",Z21,0)+IF(AC21&lt;&gt;"",AC21,0)+IF(AF21&lt;&gt;"",AF21,0)+IF(AI21&lt;&gt;"",AI21,0)+IF(AL21&lt;&gt;"",AL21,0)+IF(AO21&lt;&gt;"",AO21,0)+IF(AR21&lt;&gt;"",AR21,0)+IF(AU21&lt;&gt;"",AU21,0)+IF(AX21&lt;&gt;"",AX21,0)+IF(BA21&lt;&gt;"",BA21,0)+IF(BD21&lt;&gt;"",BD21,0)+IF(BG21&lt;&gt;"",BG21,0)+IF(BJ21&lt;&gt;"",BJ21,0)+IF(BM21&lt;&gt;"",BM21,0)+IF(BP21&lt;&gt;"",BP21,0)+IF(BS21&lt;&gt;"",BS21,0)+IF(BV21&lt;&gt;"",BV21,0)+IF(BY21&lt;&gt;"",BY21,0)+IF(CB21&lt;&gt;"",CB21,0)+IF(CE21&lt;&gt;"",CE21,0)+IF(CH21&lt;&gt;"",CH21,0)+IF(CK21&lt;&gt;"",CK21,0)+IF(CN21&lt;&gt;"",CN21,0)+IF(CQ21&lt;&gt;"",CQ21,0))/(IF(H21&lt;&gt;"",1,0)+IF(K21&lt;&gt;"",1,0)+IF(N21&lt;&gt;"",1,0)+IF(Q21&lt;&gt;"",1,0)+IF(T21&lt;&gt;"",1,0)+IF(W21&lt;&gt;"",1,0)+IF(Z21&lt;&gt;"",1,0)+IF(AC21&lt;&gt;"",1,0)+IF(AF21&lt;&gt;"",1,0)+IF(AI21&lt;&gt;"",1,0)+IF(AL21&lt;&gt;"",1,0)+IF(AO21&lt;&gt;"",1,0)+IF(AR21&lt;&gt;"",1,0)+IF(AU21&lt;&gt;"",1,0)+IF(AX21&lt;&gt;"",1,0)+IF(BA21&lt;&gt;"",1,0)+IF(BD21&lt;&gt;"",1,0)+IF(BG21&lt;&gt;"",1,0)+IF(BJ21&lt;&gt;"",1,0)+IF(BM21&lt;&gt;"",1,0)+IF(BP21&lt;&gt;"",1,0)+IF(BS21&lt;&gt;"",1,0)+IF(BV21&lt;&gt;"",1,0)+IF(BY21&lt;&gt;"",1,0)+IF(CB21&lt;&gt;"",1,0)+IF(CE21&lt;&gt;"",1,0)+IF(CH21&lt;&gt;"",1,0)+IF(CK21&lt;&gt;"",1,0)+IF(CN21&lt;&gt;"",1,0)+IF(CQ21&lt;&gt;"",1,0)))</f>
        <v/>
      </c>
      <c r="CV21">
        <f>IF(CT21&gt;=0.7,"Yes","No")</f>
        <v/>
      </c>
    </row>
  </sheetData>
  <dataValidations count="30">
    <dataValidation sqref="F2:F21" showDropDown="0" showInputMessage="0" showErrorMessage="0" allowBlank="1" type="list">
      <formula1>"Not Started,In Progress,Completed,Exempt,Failed"</formula1>
    </dataValidation>
    <dataValidation sqref="I2:I21" showDropDown="0" showInputMessage="0" showErrorMessage="0" allowBlank="1" type="list">
      <formula1>"Not Started,In Progress,Completed,Exempt,Failed"</formula1>
    </dataValidation>
    <dataValidation sqref="L2:L21" showDropDown="0" showInputMessage="0" showErrorMessage="0" allowBlank="1" type="list">
      <formula1>"Not Started,In Progress,Completed,Exempt,Failed"</formula1>
    </dataValidation>
    <dataValidation sqref="O2:O21" showDropDown="0" showInputMessage="0" showErrorMessage="0" allowBlank="1" type="list">
      <formula1>"Not Started,In Progress,Completed,Exempt,Failed"</formula1>
    </dataValidation>
    <dataValidation sqref="R2:R21" showDropDown="0" showInputMessage="0" showErrorMessage="0" allowBlank="1" type="list">
      <formula1>"Not Started,In Progress,Completed,Exempt,Failed"</formula1>
    </dataValidation>
    <dataValidation sqref="U2:U21" showDropDown="0" showInputMessage="0" showErrorMessage="0" allowBlank="1" type="list">
      <formula1>"Not Started,In Progress,Completed,Exempt,Failed"</formula1>
    </dataValidation>
    <dataValidation sqref="X2:X21" showDropDown="0" showInputMessage="0" showErrorMessage="0" allowBlank="1" type="list">
      <formula1>"Not Started,In Progress,Completed,Exempt,Failed"</formula1>
    </dataValidation>
    <dataValidation sqref="AA2:AA21" showDropDown="0" showInputMessage="0" showErrorMessage="0" allowBlank="1" type="list">
      <formula1>"Not Started,In Progress,Completed,Exempt,Failed"</formula1>
    </dataValidation>
    <dataValidation sqref="AD2:AD21" showDropDown="0" showInputMessage="0" showErrorMessage="0" allowBlank="1" type="list">
      <formula1>"Not Started,In Progress,Completed,Exempt,Failed"</formula1>
    </dataValidation>
    <dataValidation sqref="AG2:AG21" showDropDown="0" showInputMessage="0" showErrorMessage="0" allowBlank="1" type="list">
      <formula1>"Not Started,In Progress,Completed,Exempt,Failed"</formula1>
    </dataValidation>
    <dataValidation sqref="AJ2:AJ21" showDropDown="0" showInputMessage="0" showErrorMessage="0" allowBlank="1" type="list">
      <formula1>"Not Started,In Progress,Completed,Exempt,Failed"</formula1>
    </dataValidation>
    <dataValidation sqref="AM2:AM21" showDropDown="0" showInputMessage="0" showErrorMessage="0" allowBlank="1" type="list">
      <formula1>"Not Started,In Progress,Completed,Exempt,Failed"</formula1>
    </dataValidation>
    <dataValidation sqref="AP2:AP21" showDropDown="0" showInputMessage="0" showErrorMessage="0" allowBlank="1" type="list">
      <formula1>"Not Started,In Progress,Completed,Exempt,Failed"</formula1>
    </dataValidation>
    <dataValidation sqref="AS2:AS21" showDropDown="0" showInputMessage="0" showErrorMessage="0" allowBlank="1" type="list">
      <formula1>"Not Started,In Progress,Completed,Exempt,Failed"</formula1>
    </dataValidation>
    <dataValidation sqref="AV2:AV21" showDropDown="0" showInputMessage="0" showErrorMessage="0" allowBlank="1" type="list">
      <formula1>"Not Started,In Progress,Completed,Exempt,Failed"</formula1>
    </dataValidation>
    <dataValidation sqref="AY2:AY21" showDropDown="0" showInputMessage="0" showErrorMessage="0" allowBlank="1" type="list">
      <formula1>"Not Started,In Progress,Completed,Exempt,Failed"</formula1>
    </dataValidation>
    <dataValidation sqref="BB2:BB21" showDropDown="0" showInputMessage="0" showErrorMessage="0" allowBlank="1" type="list">
      <formula1>"Not Started,In Progress,Completed,Exempt,Failed"</formula1>
    </dataValidation>
    <dataValidation sqref="BE2:BE21" showDropDown="0" showInputMessage="0" showErrorMessage="0" allowBlank="1" type="list">
      <formula1>"Not Started,In Progress,Completed,Exempt,Failed"</formula1>
    </dataValidation>
    <dataValidation sqref="BH2:BH21" showDropDown="0" showInputMessage="0" showErrorMessage="0" allowBlank="1" type="list">
      <formula1>"Not Started,In Progress,Completed,Exempt,Failed"</formula1>
    </dataValidation>
    <dataValidation sqref="BK2:BK21" showDropDown="0" showInputMessage="0" showErrorMessage="0" allowBlank="1" type="list">
      <formula1>"Not Started,In Progress,Completed,Exempt,Failed"</formula1>
    </dataValidation>
    <dataValidation sqref="BN2:BN21" showDropDown="0" showInputMessage="0" showErrorMessage="0" allowBlank="1" type="list">
      <formula1>"Not Started,In Progress,Completed,Exempt,Failed"</formula1>
    </dataValidation>
    <dataValidation sqref="BQ2:BQ21" showDropDown="0" showInputMessage="0" showErrorMessage="0" allowBlank="1" type="list">
      <formula1>"Not Started,In Progress,Completed,Exempt,Failed"</formula1>
    </dataValidation>
    <dataValidation sqref="BT2:BT21" showDropDown="0" showInputMessage="0" showErrorMessage="0" allowBlank="1" type="list">
      <formula1>"Not Started,In Progress,Completed,Exempt,Failed"</formula1>
    </dataValidation>
    <dataValidation sqref="BW2:BW21" showDropDown="0" showInputMessage="0" showErrorMessage="0" allowBlank="1" type="list">
      <formula1>"Not Started,In Progress,Completed,Exempt,Failed"</formula1>
    </dataValidation>
    <dataValidation sqref="BZ2:BZ21" showDropDown="0" showInputMessage="0" showErrorMessage="0" allowBlank="1" type="list">
      <formula1>"Not Started,In Progress,Completed,Exempt,Failed"</formula1>
    </dataValidation>
    <dataValidation sqref="CC2:CC21" showDropDown="0" showInputMessage="0" showErrorMessage="0" allowBlank="1" type="list">
      <formula1>"Not Started,In Progress,Completed,Exempt,Failed"</formula1>
    </dataValidation>
    <dataValidation sqref="CF2:CF21" showDropDown="0" showInputMessage="0" showErrorMessage="0" allowBlank="1" type="list">
      <formula1>"Not Started,In Progress,Completed,Exempt,Failed"</formula1>
    </dataValidation>
    <dataValidation sqref="CI2:CI21" showDropDown="0" showInputMessage="0" showErrorMessage="0" allowBlank="1" type="list">
      <formula1>"Not Started,In Progress,Completed,Exempt,Failed"</formula1>
    </dataValidation>
    <dataValidation sqref="CL2:CL21" showDropDown="0" showInputMessage="0" showErrorMessage="0" allowBlank="1" type="list">
      <formula1>"Not Started,In Progress,Completed,Exempt,Failed"</formula1>
    </dataValidation>
    <dataValidation sqref="CO2:CO21" showDropDown="0" showInputMessage="0" showErrorMessage="0" allowBlank="1" type="list">
      <formula1>"Not Started,In Progress,Completed,Exempt,Failed"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2" customWidth="1" min="4" max="4"/>
    <col width="20" customWidth="1" min="5" max="5"/>
    <col width="22" customWidth="1" min="6" max="6"/>
    <col width="14" customWidth="1" min="7" max="7"/>
    <col width="14" customWidth="1" min="8" max="8"/>
    <col width="18" customWidth="1" min="9" max="9"/>
    <col width="18" customWidth="1" min="10" max="10"/>
    <col width="28" customWidth="1" min="11" max="11"/>
    <col width="10" customWidth="1" min="12" max="12"/>
    <col width="14" customWidth="1" min="13" max="13"/>
    <col width="20" customWidth="1" min="14" max="14"/>
    <col width="30" customWidth="1" min="15" max="15"/>
  </cols>
  <sheetData>
    <row r="1">
      <c r="A1" s="1" t="inlineStr">
        <is>
          <t>Cert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Certification Name</t>
        </is>
      </c>
      <c r="E1" s="1" t="inlineStr">
        <is>
          <t>Issuing Body</t>
        </is>
      </c>
      <c r="F1" s="1" t="inlineStr">
        <is>
          <t>Category</t>
        </is>
      </c>
      <c r="G1" s="1" t="inlineStr">
        <is>
          <t>Date Earned</t>
        </is>
      </c>
      <c r="H1" s="1" t="inlineStr">
        <is>
          <t>Expiration Date</t>
        </is>
      </c>
      <c r="I1" s="1" t="inlineStr">
        <is>
          <t>Days Until Expiration</t>
        </is>
      </c>
      <c r="J1" s="1" t="inlineStr">
        <is>
          <t>Renewal Status</t>
        </is>
      </c>
      <c r="K1" s="1" t="inlineStr">
        <is>
          <t>Renewal Requirements</t>
        </is>
      </c>
      <c r="L1" s="1" t="inlineStr">
        <is>
          <t>Cost</t>
        </is>
      </c>
      <c r="M1" s="1" t="inlineStr">
        <is>
          <t>Funded By</t>
        </is>
      </c>
      <c r="N1" s="1" t="inlineStr">
        <is>
          <t>Documentation on File</t>
        </is>
      </c>
      <c r="O1" s="1" t="inlineStr">
        <is>
          <t>Notes</t>
        </is>
      </c>
    </row>
    <row r="2">
      <c r="A2" s="2" t="inlineStr">
        <is>
          <t>CERT-001</t>
        </is>
      </c>
      <c r="B2" s="2" t="inlineStr">
        <is>
          <t>EMP-001</t>
        </is>
      </c>
      <c r="C2" s="3" t="inlineStr">
        <is>
          <t>Marcus J. Washington</t>
        </is>
      </c>
      <c r="D2" s="3" t="inlineStr">
        <is>
          <t>Interim Security Clearance</t>
        </is>
      </c>
      <c r="E2" s="3" t="inlineStr">
        <is>
          <t>DCSA</t>
        </is>
      </c>
      <c r="F2" s="3" t="inlineStr">
        <is>
          <t>Security &amp; Compliance</t>
        </is>
      </c>
      <c r="G2" s="46" t="n">
        <v>46083</v>
      </c>
      <c r="H2" s="46" t="n">
        <v>46267</v>
      </c>
      <c r="I2" s="3">
        <f>IF(H2="","N/A",H2-DATE(2026,4,20))</f>
        <v/>
      </c>
      <c r="J2" s="47" t="inlineStr">
        <is>
          <t>Current</t>
        </is>
      </c>
      <c r="K2" s="3" t="inlineStr">
        <is>
          <t>Upgrade to final clearance</t>
        </is>
      </c>
      <c r="L2" s="53" t="n">
        <v>0</v>
      </c>
      <c r="M2" s="3" t="inlineStr">
        <is>
          <t>Government</t>
        </is>
      </c>
      <c r="N2" s="3" t="inlineStr">
        <is>
          <t>Yes</t>
        </is>
      </c>
      <c r="O2" s="3" t="inlineStr">
        <is>
          <t>Interim granted; final investigation pending</t>
        </is>
      </c>
    </row>
    <row r="3">
      <c r="A3" s="6" t="inlineStr">
        <is>
          <t>CERT-002</t>
        </is>
      </c>
      <c r="B3" s="6" t="inlineStr">
        <is>
          <t>EMP-001</t>
        </is>
      </c>
      <c r="C3" s="7" t="inlineStr">
        <is>
          <t>Marcus J. Washington</t>
        </is>
      </c>
      <c r="D3" s="7" t="inlineStr">
        <is>
          <t>CUI Handling Certification</t>
        </is>
      </c>
      <c r="E3" s="7" t="inlineStr">
        <is>
          <t>Company</t>
        </is>
      </c>
      <c r="F3" s="7" t="inlineStr">
        <is>
          <t>Security &amp; Compliance</t>
        </is>
      </c>
      <c r="G3" s="49" t="n">
        <v>46086</v>
      </c>
      <c r="H3" s="49" t="n">
        <v>46451</v>
      </c>
      <c r="I3" s="7">
        <f>IF(H3="","N/A",H3-DATE(2026,4,20))</f>
        <v/>
      </c>
      <c r="J3" s="47" t="inlineStr">
        <is>
          <t>Current</t>
        </is>
      </c>
      <c r="K3" s="7" t="inlineStr">
        <is>
          <t>Complete TRN-001 annually</t>
        </is>
      </c>
      <c r="L3" s="54" t="n">
        <v>0</v>
      </c>
      <c r="M3" s="7" t="inlineStr">
        <is>
          <t>Company</t>
        </is>
      </c>
      <c r="N3" s="7" t="inlineStr">
        <is>
          <t>Yes</t>
        </is>
      </c>
      <c r="O3" s="7" t="inlineStr"/>
    </row>
    <row r="4">
      <c r="A4" s="2" t="inlineStr">
        <is>
          <t>CERT-003</t>
        </is>
      </c>
      <c r="B4" s="2" t="inlineStr">
        <is>
          <t>EMP-002</t>
        </is>
      </c>
      <c r="C4" s="3" t="inlineStr">
        <is>
          <t>Sarah L. Mitchell</t>
        </is>
      </c>
      <c r="D4" s="3" t="inlineStr">
        <is>
          <t>Final Security Clearance</t>
        </is>
      </c>
      <c r="E4" s="3" t="inlineStr">
        <is>
          <t>DCSA</t>
        </is>
      </c>
      <c r="F4" s="3" t="inlineStr">
        <is>
          <t>Security &amp; Compliance</t>
        </is>
      </c>
      <c r="G4" s="46" t="n">
        <v>46083</v>
      </c>
      <c r="H4" s="46" t="n">
        <v>47909</v>
      </c>
      <c r="I4" s="3">
        <f>IF(H4="","N/A",H4-DATE(2026,4,20))</f>
        <v/>
      </c>
      <c r="J4" s="47" t="inlineStr">
        <is>
          <t>Current</t>
        </is>
      </c>
      <c r="K4" s="3" t="inlineStr">
        <is>
          <t>Reinvestigation every 5 years</t>
        </is>
      </c>
      <c r="L4" s="53" t="n">
        <v>0</v>
      </c>
      <c r="M4" s="3" t="inlineStr">
        <is>
          <t>Government</t>
        </is>
      </c>
      <c r="N4" s="3" t="inlineStr">
        <is>
          <t>Yes</t>
        </is>
      </c>
      <c r="O4" s="3" t="inlineStr"/>
    </row>
    <row r="5">
      <c r="A5" s="6" t="inlineStr">
        <is>
          <t>CERT-004</t>
        </is>
      </c>
      <c r="B5" s="6" t="inlineStr">
        <is>
          <t>EMP-002</t>
        </is>
      </c>
      <c r="C5" s="7" t="inlineStr">
        <is>
          <t>Sarah L. Mitchell</t>
        </is>
      </c>
      <c r="D5" s="7" t="inlineStr">
        <is>
          <t>CUI Handling Certification</t>
        </is>
      </c>
      <c r="E5" s="7" t="inlineStr">
        <is>
          <t>Company</t>
        </is>
      </c>
      <c r="F5" s="7" t="inlineStr">
        <is>
          <t>Security &amp; Compliance</t>
        </is>
      </c>
      <c r="G5" s="49" t="n">
        <v>46086</v>
      </c>
      <c r="H5" s="49" t="n">
        <v>46451</v>
      </c>
      <c r="I5" s="7">
        <f>IF(H5="","N/A",H5-DATE(2026,4,20))</f>
        <v/>
      </c>
      <c r="J5" s="47" t="inlineStr">
        <is>
          <t>Current</t>
        </is>
      </c>
      <c r="K5" s="7" t="inlineStr">
        <is>
          <t>Complete TRN-001 annually</t>
        </is>
      </c>
      <c r="L5" s="54" t="n">
        <v>0</v>
      </c>
      <c r="M5" s="7" t="inlineStr">
        <is>
          <t>Company</t>
        </is>
      </c>
      <c r="N5" s="7" t="inlineStr">
        <is>
          <t>Yes</t>
        </is>
      </c>
      <c r="O5" s="7" t="inlineStr"/>
    </row>
    <row r="6">
      <c r="A6" s="2" t="inlineStr">
        <is>
          <t>CERT-005</t>
        </is>
      </c>
      <c r="B6" s="2" t="inlineStr">
        <is>
          <t>EMP-003</t>
        </is>
      </c>
      <c r="C6" s="3" t="inlineStr">
        <is>
          <t>David R. Hernandez</t>
        </is>
      </c>
      <c r="D6" s="3" t="inlineStr">
        <is>
          <t>Final Security Clearance</t>
        </is>
      </c>
      <c r="E6" s="3" t="inlineStr">
        <is>
          <t>DCSA</t>
        </is>
      </c>
      <c r="F6" s="3" t="inlineStr">
        <is>
          <t>Security &amp; Compliance</t>
        </is>
      </c>
      <c r="G6" s="46" t="n">
        <v>46083</v>
      </c>
      <c r="H6" s="46" t="n">
        <v>47909</v>
      </c>
      <c r="I6" s="3">
        <f>IF(H6="","N/A",H6-DATE(2026,4,20))</f>
        <v/>
      </c>
      <c r="J6" s="47" t="inlineStr">
        <is>
          <t>Current</t>
        </is>
      </c>
      <c r="K6" s="3" t="inlineStr">
        <is>
          <t>Reinvestigation every 5 years</t>
        </is>
      </c>
      <c r="L6" s="53" t="n">
        <v>0</v>
      </c>
      <c r="M6" s="3" t="inlineStr">
        <is>
          <t>Government</t>
        </is>
      </c>
      <c r="N6" s="3" t="inlineStr">
        <is>
          <t>Yes</t>
        </is>
      </c>
      <c r="O6" s="3" t="inlineStr"/>
    </row>
    <row r="7">
      <c r="A7" s="6" t="inlineStr">
        <is>
          <t>CERT-006</t>
        </is>
      </c>
      <c r="B7" s="6" t="inlineStr">
        <is>
          <t>EMP-003</t>
        </is>
      </c>
      <c r="C7" s="7" t="inlineStr">
        <is>
          <t>David R. Hernandez</t>
        </is>
      </c>
      <c r="D7" s="7" t="inlineStr">
        <is>
          <t>CUI Handling Certification</t>
        </is>
      </c>
      <c r="E7" s="7" t="inlineStr">
        <is>
          <t>Company</t>
        </is>
      </c>
      <c r="F7" s="7" t="inlineStr">
        <is>
          <t>Security &amp; Compliance</t>
        </is>
      </c>
      <c r="G7" s="49" t="n">
        <v>46085</v>
      </c>
      <c r="H7" s="49" t="n">
        <v>46450</v>
      </c>
      <c r="I7" s="7">
        <f>IF(H7="","N/A",H7-DATE(2026,4,20))</f>
        <v/>
      </c>
      <c r="J7" s="47" t="inlineStr">
        <is>
          <t>Current</t>
        </is>
      </c>
      <c r="K7" s="7" t="inlineStr">
        <is>
          <t>Complete TRN-001 annually</t>
        </is>
      </c>
      <c r="L7" s="54" t="n">
        <v>0</v>
      </c>
      <c r="M7" s="7" t="inlineStr">
        <is>
          <t>Company</t>
        </is>
      </c>
      <c r="N7" s="7" t="inlineStr">
        <is>
          <t>Yes</t>
        </is>
      </c>
      <c r="O7" s="7" t="inlineStr"/>
    </row>
    <row r="8">
      <c r="A8" s="2" t="inlineStr">
        <is>
          <t>CERT-007</t>
        </is>
      </c>
      <c r="B8" s="2" t="inlineStr">
        <is>
          <t>EMP-003</t>
        </is>
      </c>
      <c r="C8" s="3" t="inlineStr">
        <is>
          <t>David R. Hernandez</t>
        </is>
      </c>
      <c r="D8" s="3" t="inlineStr">
        <is>
          <t>CMS Advanced User Certification</t>
        </is>
      </c>
      <c r="E8" s="3" t="inlineStr">
        <is>
          <t>CMS Vendor</t>
        </is>
      </c>
      <c r="F8" s="3" t="inlineStr">
        <is>
          <t>Systems &amp; Technology</t>
        </is>
      </c>
      <c r="G8" s="46" t="n">
        <v>46113</v>
      </c>
      <c r="H8" s="46" t="n">
        <v>46478</v>
      </c>
      <c r="I8" s="3">
        <f>IF(H8="","N/A",H8-DATE(2026,4,20))</f>
        <v/>
      </c>
      <c r="J8" s="47" t="inlineStr">
        <is>
          <t>Current</t>
        </is>
      </c>
      <c r="K8" s="3" t="inlineStr">
        <is>
          <t>Recertify annually</t>
        </is>
      </c>
      <c r="L8" s="53" t="n">
        <v>150</v>
      </c>
      <c r="M8" s="3" t="inlineStr">
        <is>
          <t>Company</t>
        </is>
      </c>
      <c r="N8" s="3" t="inlineStr">
        <is>
          <t>Yes</t>
        </is>
      </c>
      <c r="O8" s="3" t="inlineStr"/>
    </row>
    <row r="9">
      <c r="A9" s="6" t="inlineStr">
        <is>
          <t>CERT-008</t>
        </is>
      </c>
      <c r="B9" s="6" t="inlineStr">
        <is>
          <t>EMP-004</t>
        </is>
      </c>
      <c r="C9" s="7" t="inlineStr">
        <is>
          <t>Jennifer A. Collins</t>
        </is>
      </c>
      <c r="D9" s="7" t="inlineStr">
        <is>
          <t>Final Security Clearance</t>
        </is>
      </c>
      <c r="E9" s="7" t="inlineStr">
        <is>
          <t>DCSA</t>
        </is>
      </c>
      <c r="F9" s="7" t="inlineStr">
        <is>
          <t>Security &amp; Compliance</t>
        </is>
      </c>
      <c r="G9" s="49" t="n">
        <v>46090</v>
      </c>
      <c r="H9" s="49" t="n">
        <v>47916</v>
      </c>
      <c r="I9" s="7">
        <f>IF(H9="","N/A",H9-DATE(2026,4,20))</f>
        <v/>
      </c>
      <c r="J9" s="47" t="inlineStr">
        <is>
          <t>Current</t>
        </is>
      </c>
      <c r="K9" s="7" t="inlineStr">
        <is>
          <t>Reinvestigation every 5 years</t>
        </is>
      </c>
      <c r="L9" s="54" t="n">
        <v>0</v>
      </c>
      <c r="M9" s="7" t="inlineStr">
        <is>
          <t>Government</t>
        </is>
      </c>
      <c r="N9" s="7" t="inlineStr">
        <is>
          <t>Yes</t>
        </is>
      </c>
      <c r="O9" s="7" t="inlineStr"/>
    </row>
    <row r="10">
      <c r="A10" s="2" t="inlineStr">
        <is>
          <t>CERT-009</t>
        </is>
      </c>
      <c r="B10" s="2" t="inlineStr">
        <is>
          <t>EMP-004</t>
        </is>
      </c>
      <c r="C10" s="3" t="inlineStr">
        <is>
          <t>Jennifer A. Collins</t>
        </is>
      </c>
      <c r="D10" s="3" t="inlineStr">
        <is>
          <t>CUI Handling Certification</t>
        </is>
      </c>
      <c r="E10" s="3" t="inlineStr">
        <is>
          <t>Company</t>
        </is>
      </c>
      <c r="F10" s="3" t="inlineStr">
        <is>
          <t>Security &amp; Compliance</t>
        </is>
      </c>
      <c r="G10" s="46" t="n">
        <v>46092</v>
      </c>
      <c r="H10" s="46" t="n">
        <v>46457</v>
      </c>
      <c r="I10" s="3">
        <f>IF(H10="","N/A",H10-DATE(2026,4,20))</f>
        <v/>
      </c>
      <c r="J10" s="47" t="inlineStr">
        <is>
          <t>Current</t>
        </is>
      </c>
      <c r="K10" s="3" t="inlineStr">
        <is>
          <t>Complete TRN-001 annually</t>
        </is>
      </c>
      <c r="L10" s="53" t="n">
        <v>0</v>
      </c>
      <c r="M10" s="3" t="inlineStr">
        <is>
          <t>Company</t>
        </is>
      </c>
      <c r="N10" s="3" t="inlineStr">
        <is>
          <t>Yes</t>
        </is>
      </c>
      <c r="O10" s="3" t="inlineStr"/>
    </row>
    <row r="11">
      <c r="A11" s="6" t="inlineStr">
        <is>
          <t>CERT-010</t>
        </is>
      </c>
      <c r="B11" s="6" t="inlineStr">
        <is>
          <t>EMP-004</t>
        </is>
      </c>
      <c r="C11" s="7" t="inlineStr">
        <is>
          <t>Jennifer A. Collins</t>
        </is>
      </c>
      <c r="D11" s="7" t="inlineStr">
        <is>
          <t>Project Management Professional</t>
        </is>
      </c>
      <c r="E11" s="7" t="inlineStr">
        <is>
          <t>PMI</t>
        </is>
      </c>
      <c r="F11" s="7" t="inlineStr">
        <is>
          <t>Leadership &amp; Supervision</t>
        </is>
      </c>
      <c r="G11" s="49" t="n">
        <v>45823</v>
      </c>
      <c r="H11" s="49" t="n">
        <v>46919</v>
      </c>
      <c r="I11" s="7">
        <f>IF(H11="","N/A",H11-DATE(2026,4,20))</f>
        <v/>
      </c>
      <c r="J11" s="47" t="inlineStr">
        <is>
          <t>Current</t>
        </is>
      </c>
      <c r="K11" s="7" t="inlineStr">
        <is>
          <t>60 PDUs every 3 years</t>
        </is>
      </c>
      <c r="L11" s="54" t="n">
        <v>555</v>
      </c>
      <c r="M11" s="7" t="inlineStr">
        <is>
          <t>Company</t>
        </is>
      </c>
      <c r="N11" s="7" t="inlineStr">
        <is>
          <t>Yes</t>
        </is>
      </c>
      <c r="O11" s="7" t="inlineStr"/>
    </row>
    <row r="12">
      <c r="A12" s="2" t="inlineStr">
        <is>
          <t>CERT-011</t>
        </is>
      </c>
      <c r="B12" s="2" t="inlineStr">
        <is>
          <t>EMP-005</t>
        </is>
      </c>
      <c r="C12" s="3" t="inlineStr">
        <is>
          <t>Robert T. Kim</t>
        </is>
      </c>
      <c r="D12" s="3" t="inlineStr">
        <is>
          <t>Final Security Clearance</t>
        </is>
      </c>
      <c r="E12" s="3" t="inlineStr">
        <is>
          <t>DCSA</t>
        </is>
      </c>
      <c r="F12" s="3" t="inlineStr">
        <is>
          <t>Security &amp; Compliance</t>
        </is>
      </c>
      <c r="G12" s="46" t="n">
        <v>46090</v>
      </c>
      <c r="H12" s="46" t="n">
        <v>47916</v>
      </c>
      <c r="I12" s="3">
        <f>IF(H12="","N/A",H12-DATE(2026,4,20))</f>
        <v/>
      </c>
      <c r="J12" s="47" t="inlineStr">
        <is>
          <t>Current</t>
        </is>
      </c>
      <c r="K12" s="3" t="inlineStr">
        <is>
          <t>Reinvestigation every 5 years</t>
        </is>
      </c>
      <c r="L12" s="53" t="n">
        <v>0</v>
      </c>
      <c r="M12" s="3" t="inlineStr">
        <is>
          <t>Government</t>
        </is>
      </c>
      <c r="N12" s="3" t="inlineStr">
        <is>
          <t>Yes</t>
        </is>
      </c>
      <c r="O12" s="3" t="inlineStr"/>
    </row>
    <row r="13">
      <c r="A13" s="6" t="inlineStr">
        <is>
          <t>CERT-012</t>
        </is>
      </c>
      <c r="B13" s="6" t="inlineStr">
        <is>
          <t>EMP-005</t>
        </is>
      </c>
      <c r="C13" s="7" t="inlineStr">
        <is>
          <t>Robert T. Kim</t>
        </is>
      </c>
      <c r="D13" s="7" t="inlineStr">
        <is>
          <t>CUI Handling Certification</t>
        </is>
      </c>
      <c r="E13" s="7" t="inlineStr">
        <is>
          <t>Company</t>
        </is>
      </c>
      <c r="F13" s="7" t="inlineStr">
        <is>
          <t>Security &amp; Compliance</t>
        </is>
      </c>
      <c r="G13" s="49" t="n">
        <v>46093</v>
      </c>
      <c r="H13" s="49" t="n">
        <v>46458</v>
      </c>
      <c r="I13" s="7">
        <f>IF(H13="","N/A",H13-DATE(2026,4,20))</f>
        <v/>
      </c>
      <c r="J13" s="47" t="inlineStr">
        <is>
          <t>Current</t>
        </is>
      </c>
      <c r="K13" s="7" t="inlineStr">
        <is>
          <t>Complete TRN-001 annually</t>
        </is>
      </c>
      <c r="L13" s="54" t="n">
        <v>0</v>
      </c>
      <c r="M13" s="7" t="inlineStr">
        <is>
          <t>Company</t>
        </is>
      </c>
      <c r="N13" s="7" t="inlineStr">
        <is>
          <t>Yes</t>
        </is>
      </c>
      <c r="O13" s="7" t="inlineStr"/>
    </row>
    <row r="14">
      <c r="A14" s="2" t="inlineStr">
        <is>
          <t>CERT-013</t>
        </is>
      </c>
      <c r="B14" s="2" t="inlineStr">
        <is>
          <t>EMP-006</t>
        </is>
      </c>
      <c r="C14" s="3" t="inlineStr">
        <is>
          <t>Amanda K. Brooks</t>
        </is>
      </c>
      <c r="D14" s="3" t="inlineStr">
        <is>
          <t>Final Security Clearance</t>
        </is>
      </c>
      <c r="E14" s="3" t="inlineStr">
        <is>
          <t>DCSA</t>
        </is>
      </c>
      <c r="F14" s="3" t="inlineStr">
        <is>
          <t>Security &amp; Compliance</t>
        </is>
      </c>
      <c r="G14" s="46" t="n">
        <v>46090</v>
      </c>
      <c r="H14" s="46" t="n">
        <v>47916</v>
      </c>
      <c r="I14" s="3">
        <f>IF(H14="","N/A",H14-DATE(2026,4,20))</f>
        <v/>
      </c>
      <c r="J14" s="47" t="inlineStr">
        <is>
          <t>Current</t>
        </is>
      </c>
      <c r="K14" s="3" t="inlineStr">
        <is>
          <t>Reinvestigation every 5 years</t>
        </is>
      </c>
      <c r="L14" s="53" t="n">
        <v>0</v>
      </c>
      <c r="M14" s="3" t="inlineStr">
        <is>
          <t>Government</t>
        </is>
      </c>
      <c r="N14" s="3" t="inlineStr">
        <is>
          <t>Yes</t>
        </is>
      </c>
      <c r="O14" s="3" t="inlineStr"/>
    </row>
    <row r="15">
      <c r="A15" s="6" t="inlineStr">
        <is>
          <t>CERT-014</t>
        </is>
      </c>
      <c r="B15" s="6" t="inlineStr">
        <is>
          <t>EMP-006</t>
        </is>
      </c>
      <c r="C15" s="7" t="inlineStr">
        <is>
          <t>Amanda K. Brooks</t>
        </is>
      </c>
      <c r="D15" s="7" t="inlineStr">
        <is>
          <t>Certified Quality Auditor</t>
        </is>
      </c>
      <c r="E15" s="7" t="inlineStr">
        <is>
          <t>ASQ</t>
        </is>
      </c>
      <c r="F15" s="7" t="inlineStr">
        <is>
          <t>Quality Assurance</t>
        </is>
      </c>
      <c r="G15" s="49" t="n">
        <v>45889</v>
      </c>
      <c r="H15" s="49" t="n">
        <v>46152</v>
      </c>
      <c r="I15" s="7">
        <f>IF(H15="","N/A",H15-DATE(2026,4,20))</f>
        <v/>
      </c>
      <c r="J15" s="51" t="inlineStr">
        <is>
          <t>Expiring Soon</t>
        </is>
      </c>
      <c r="K15" s="7" t="inlineStr">
        <is>
          <t>Recertify with 18 RUs</t>
        </is>
      </c>
      <c r="L15" s="54" t="n">
        <v>400</v>
      </c>
      <c r="M15" s="7" t="inlineStr">
        <is>
          <t>Company</t>
        </is>
      </c>
      <c r="N15" s="7" t="inlineStr">
        <is>
          <t>Pending</t>
        </is>
      </c>
      <c r="O15" s="7" t="inlineStr">
        <is>
          <t>Renewal application submitted</t>
        </is>
      </c>
    </row>
    <row r="16">
      <c r="A16" s="2" t="inlineStr">
        <is>
          <t>CERT-015</t>
        </is>
      </c>
      <c r="B16" s="2" t="inlineStr">
        <is>
          <t>EMP-006</t>
        </is>
      </c>
      <c r="C16" s="3" t="inlineStr">
        <is>
          <t>Amanda K. Brooks</t>
        </is>
      </c>
      <c r="D16" s="3" t="inlineStr">
        <is>
          <t>CUI Handling Certification</t>
        </is>
      </c>
      <c r="E16" s="3" t="inlineStr">
        <is>
          <t>Company</t>
        </is>
      </c>
      <c r="F16" s="3" t="inlineStr">
        <is>
          <t>Security &amp; Compliance</t>
        </is>
      </c>
      <c r="G16" s="46" t="n">
        <v>46093</v>
      </c>
      <c r="H16" s="46" t="n">
        <v>46458</v>
      </c>
      <c r="I16" s="3">
        <f>IF(H16="","N/A",H16-DATE(2026,4,20))</f>
        <v/>
      </c>
      <c r="J16" s="47" t="inlineStr">
        <is>
          <t>Current</t>
        </is>
      </c>
      <c r="K16" s="3" t="inlineStr">
        <is>
          <t>Complete TRN-001 annually</t>
        </is>
      </c>
      <c r="L16" s="53" t="n">
        <v>0</v>
      </c>
      <c r="M16" s="3" t="inlineStr">
        <is>
          <t>Company</t>
        </is>
      </c>
      <c r="N16" s="3" t="inlineStr">
        <is>
          <t>Yes</t>
        </is>
      </c>
      <c r="O16" s="3" t="inlineStr"/>
    </row>
    <row r="17">
      <c r="A17" s="6" t="inlineStr">
        <is>
          <t>CERT-016</t>
        </is>
      </c>
      <c r="B17" s="6" t="inlineStr">
        <is>
          <t>EMP-007</t>
        </is>
      </c>
      <c r="C17" s="7" t="inlineStr">
        <is>
          <t>Michael D. Torres</t>
        </is>
      </c>
      <c r="D17" s="7" t="inlineStr">
        <is>
          <t>Final Security Clearance</t>
        </is>
      </c>
      <c r="E17" s="7" t="inlineStr">
        <is>
          <t>DCSA</t>
        </is>
      </c>
      <c r="F17" s="7" t="inlineStr">
        <is>
          <t>Security &amp; Compliance</t>
        </is>
      </c>
      <c r="G17" s="49" t="n">
        <v>46090</v>
      </c>
      <c r="H17" s="49" t="n">
        <v>47916</v>
      </c>
      <c r="I17" s="7">
        <f>IF(H17="","N/A",H17-DATE(2026,4,20))</f>
        <v/>
      </c>
      <c r="J17" s="47" t="inlineStr">
        <is>
          <t>Current</t>
        </is>
      </c>
      <c r="K17" s="7" t="inlineStr">
        <is>
          <t>Reinvestigation every 5 years</t>
        </is>
      </c>
      <c r="L17" s="54" t="n">
        <v>0</v>
      </c>
      <c r="M17" s="7" t="inlineStr">
        <is>
          <t>Government</t>
        </is>
      </c>
      <c r="N17" s="7" t="inlineStr">
        <is>
          <t>Yes</t>
        </is>
      </c>
      <c r="O17" s="7" t="inlineStr"/>
    </row>
    <row r="18">
      <c r="A18" s="2" t="inlineStr">
        <is>
          <t>CERT-017</t>
        </is>
      </c>
      <c r="B18" s="2" t="inlineStr">
        <is>
          <t>EMP-007</t>
        </is>
      </c>
      <c r="C18" s="3" t="inlineStr">
        <is>
          <t>Michael D. Torres</t>
        </is>
      </c>
      <c r="D18" s="3" t="inlineStr">
        <is>
          <t>CUI Handling Certification</t>
        </is>
      </c>
      <c r="E18" s="3" t="inlineStr">
        <is>
          <t>Company</t>
        </is>
      </c>
      <c r="F18" s="3" t="inlineStr">
        <is>
          <t>Security &amp; Compliance</t>
        </is>
      </c>
      <c r="G18" s="46" t="n">
        <v>46091</v>
      </c>
      <c r="H18" s="46" t="n">
        <v>46456</v>
      </c>
      <c r="I18" s="3">
        <f>IF(H18="","N/A",H18-DATE(2026,4,20))</f>
        <v/>
      </c>
      <c r="J18" s="47" t="inlineStr">
        <is>
          <t>Current</t>
        </is>
      </c>
      <c r="K18" s="3" t="inlineStr">
        <is>
          <t>Complete TRN-001 annually</t>
        </is>
      </c>
      <c r="L18" s="53" t="n">
        <v>0</v>
      </c>
      <c r="M18" s="3" t="inlineStr">
        <is>
          <t>Company</t>
        </is>
      </c>
      <c r="N18" s="3" t="inlineStr">
        <is>
          <t>Yes</t>
        </is>
      </c>
      <c r="O18" s="3" t="inlineStr"/>
    </row>
    <row r="19">
      <c r="A19" s="6" t="inlineStr">
        <is>
          <t>CERT-018</t>
        </is>
      </c>
      <c r="B19" s="6" t="inlineStr">
        <is>
          <t>EMP-007</t>
        </is>
      </c>
      <c r="C19" s="7" t="inlineStr">
        <is>
          <t>Michael D. Torres</t>
        </is>
      </c>
      <c r="D19" s="7" t="inlineStr">
        <is>
          <t>SHRM-CP</t>
        </is>
      </c>
      <c r="E19" s="7" t="inlineStr">
        <is>
          <t>SHRM</t>
        </is>
      </c>
      <c r="F19" s="7" t="inlineStr">
        <is>
          <t>Leadership &amp; Supervision</t>
        </is>
      </c>
      <c r="G19" s="49" t="n">
        <v>45597</v>
      </c>
      <c r="H19" s="49" t="n">
        <v>46692</v>
      </c>
      <c r="I19" s="7">
        <f>IF(H19="","N/A",H19-DATE(2026,4,20))</f>
        <v/>
      </c>
      <c r="J19" s="47" t="inlineStr">
        <is>
          <t>Current</t>
        </is>
      </c>
      <c r="K19" s="7" t="inlineStr">
        <is>
          <t>60 PDCs every 3 years</t>
        </is>
      </c>
      <c r="L19" s="54" t="n">
        <v>375</v>
      </c>
      <c r="M19" s="7" t="inlineStr">
        <is>
          <t>Company</t>
        </is>
      </c>
      <c r="N19" s="7" t="inlineStr">
        <is>
          <t>Yes</t>
        </is>
      </c>
      <c r="O19" s="7" t="inlineStr"/>
    </row>
    <row r="20">
      <c r="A20" s="2" t="inlineStr">
        <is>
          <t>CERT-019</t>
        </is>
      </c>
      <c r="B20" s="2" t="inlineStr">
        <is>
          <t>EMP-008</t>
        </is>
      </c>
      <c r="C20" s="3" t="inlineStr">
        <is>
          <t>Lisa M. Patel</t>
        </is>
      </c>
      <c r="D20" s="3" t="inlineStr">
        <is>
          <t>Final Security Clearance</t>
        </is>
      </c>
      <c r="E20" s="3" t="inlineStr">
        <is>
          <t>DCSA</t>
        </is>
      </c>
      <c r="F20" s="3" t="inlineStr">
        <is>
          <t>Security &amp; Compliance</t>
        </is>
      </c>
      <c r="G20" s="46" t="n">
        <v>46097</v>
      </c>
      <c r="H20" s="46" t="n">
        <v>47923</v>
      </c>
      <c r="I20" s="3">
        <f>IF(H20="","N/A",H20-DATE(2026,4,20))</f>
        <v/>
      </c>
      <c r="J20" s="47" t="inlineStr">
        <is>
          <t>Current</t>
        </is>
      </c>
      <c r="K20" s="3" t="inlineStr">
        <is>
          <t>Reinvestigation every 5 years</t>
        </is>
      </c>
      <c r="L20" s="53" t="n">
        <v>0</v>
      </c>
      <c r="M20" s="3" t="inlineStr">
        <is>
          <t>Government</t>
        </is>
      </c>
      <c r="N20" s="3" t="inlineStr">
        <is>
          <t>Yes</t>
        </is>
      </c>
      <c r="O20" s="3" t="inlineStr"/>
    </row>
    <row r="21">
      <c r="A21" s="6" t="inlineStr">
        <is>
          <t>CERT-020</t>
        </is>
      </c>
      <c r="B21" s="6" t="inlineStr">
        <is>
          <t>EMP-008</t>
        </is>
      </c>
      <c r="C21" s="7" t="inlineStr">
        <is>
          <t>Lisa M. Patel</t>
        </is>
      </c>
      <c r="D21" s="7" t="inlineStr">
        <is>
          <t>CUI Handling Certification</t>
        </is>
      </c>
      <c r="E21" s="7" t="inlineStr">
        <is>
          <t>Company</t>
        </is>
      </c>
      <c r="F21" s="7" t="inlineStr">
        <is>
          <t>Security &amp; Compliance</t>
        </is>
      </c>
      <c r="G21" s="49" t="n">
        <v>46099</v>
      </c>
      <c r="H21" s="49" t="n">
        <v>46464</v>
      </c>
      <c r="I21" s="7">
        <f>IF(H21="","N/A",H21-DATE(2026,4,20))</f>
        <v/>
      </c>
      <c r="J21" s="47" t="inlineStr">
        <is>
          <t>Current</t>
        </is>
      </c>
      <c r="K21" s="7" t="inlineStr">
        <is>
          <t>Complete TRN-001 annually</t>
        </is>
      </c>
      <c r="L21" s="54" t="n">
        <v>0</v>
      </c>
      <c r="M21" s="7" t="inlineStr">
        <is>
          <t>Company</t>
        </is>
      </c>
      <c r="N21" s="7" t="inlineStr">
        <is>
          <t>Yes</t>
        </is>
      </c>
      <c r="O21" s="7" t="inlineStr"/>
    </row>
    <row r="22">
      <c r="A22" s="2" t="inlineStr">
        <is>
          <t>CERT-021</t>
        </is>
      </c>
      <c r="B22" s="2" t="inlineStr">
        <is>
          <t>EMP-009</t>
        </is>
      </c>
      <c r="C22" s="3" t="inlineStr">
        <is>
          <t>James W. O'Brien</t>
        </is>
      </c>
      <c r="D22" s="3" t="inlineStr">
        <is>
          <t>Interim Security Clearance</t>
        </is>
      </c>
      <c r="E22" s="3" t="inlineStr">
        <is>
          <t>DCSA</t>
        </is>
      </c>
      <c r="F22" s="3" t="inlineStr">
        <is>
          <t>Security &amp; Compliance</t>
        </is>
      </c>
      <c r="G22" s="46" t="n">
        <v>46097</v>
      </c>
      <c r="H22" s="46" t="n">
        <v>46281</v>
      </c>
      <c r="I22" s="3">
        <f>IF(H22="","N/A",H22-DATE(2026,4,20))</f>
        <v/>
      </c>
      <c r="J22" s="47" t="inlineStr">
        <is>
          <t>Current</t>
        </is>
      </c>
      <c r="K22" s="3" t="inlineStr">
        <is>
          <t>Upgrade to final clearance</t>
        </is>
      </c>
      <c r="L22" s="53" t="n">
        <v>0</v>
      </c>
      <c r="M22" s="3" t="inlineStr">
        <is>
          <t>Government</t>
        </is>
      </c>
      <c r="N22" s="3" t="inlineStr">
        <is>
          <t>Yes</t>
        </is>
      </c>
      <c r="O22" s="3" t="inlineStr">
        <is>
          <t>Final investigation in progress</t>
        </is>
      </c>
    </row>
    <row r="23">
      <c r="A23" s="6" t="inlineStr">
        <is>
          <t>CERT-022</t>
        </is>
      </c>
      <c r="B23" s="6" t="inlineStr">
        <is>
          <t>EMP-009</t>
        </is>
      </c>
      <c r="C23" s="7" t="inlineStr">
        <is>
          <t>James W. O'Brien</t>
        </is>
      </c>
      <c r="D23" s="7" t="inlineStr">
        <is>
          <t>CUI Handling Certification</t>
        </is>
      </c>
      <c r="E23" s="7" t="inlineStr">
        <is>
          <t>Company</t>
        </is>
      </c>
      <c r="F23" s="7" t="inlineStr">
        <is>
          <t>Security &amp; Compliance</t>
        </is>
      </c>
      <c r="G23" s="49" t="n">
        <v>46100</v>
      </c>
      <c r="H23" s="49" t="n">
        <v>46465</v>
      </c>
      <c r="I23" s="7">
        <f>IF(H23="","N/A",H23-DATE(2026,4,20))</f>
        <v/>
      </c>
      <c r="J23" s="47" t="inlineStr">
        <is>
          <t>Current</t>
        </is>
      </c>
      <c r="K23" s="7" t="inlineStr">
        <is>
          <t>Complete TRN-001 annually</t>
        </is>
      </c>
      <c r="L23" s="54" t="n">
        <v>0</v>
      </c>
      <c r="M23" s="7" t="inlineStr">
        <is>
          <t>Company</t>
        </is>
      </c>
      <c r="N23" s="7" t="inlineStr">
        <is>
          <t>Yes</t>
        </is>
      </c>
      <c r="O23" s="7" t="inlineStr"/>
    </row>
    <row r="24">
      <c r="A24" s="2" t="inlineStr">
        <is>
          <t>CERT-023</t>
        </is>
      </c>
      <c r="B24" s="2" t="inlineStr">
        <is>
          <t>EMP-010</t>
        </is>
      </c>
      <c r="C24" s="3" t="inlineStr">
        <is>
          <t>Crystal N. Davis</t>
        </is>
      </c>
      <c r="D24" s="3" t="inlineStr">
        <is>
          <t>Final Security Clearance</t>
        </is>
      </c>
      <c r="E24" s="3" t="inlineStr">
        <is>
          <t>DCSA</t>
        </is>
      </c>
      <c r="F24" s="3" t="inlineStr">
        <is>
          <t>Security &amp; Compliance</t>
        </is>
      </c>
      <c r="G24" s="46" t="n">
        <v>46097</v>
      </c>
      <c r="H24" s="46" t="n">
        <v>47923</v>
      </c>
      <c r="I24" s="3">
        <f>IF(H24="","N/A",H24-DATE(2026,4,20))</f>
        <v/>
      </c>
      <c r="J24" s="47" t="inlineStr">
        <is>
          <t>Current</t>
        </is>
      </c>
      <c r="K24" s="3" t="inlineStr">
        <is>
          <t>Reinvestigation every 5 years</t>
        </is>
      </c>
      <c r="L24" s="53" t="n">
        <v>0</v>
      </c>
      <c r="M24" s="3" t="inlineStr">
        <is>
          <t>Government</t>
        </is>
      </c>
      <c r="N24" s="3" t="inlineStr">
        <is>
          <t>Yes</t>
        </is>
      </c>
      <c r="O24" s="3" t="inlineStr"/>
    </row>
    <row r="25">
      <c r="A25" s="6" t="inlineStr">
        <is>
          <t>CERT-024</t>
        </is>
      </c>
      <c r="B25" s="6" t="inlineStr">
        <is>
          <t>EMP-010</t>
        </is>
      </c>
      <c r="C25" s="7" t="inlineStr">
        <is>
          <t>Crystal N. Davis</t>
        </is>
      </c>
      <c r="D25" s="7" t="inlineStr">
        <is>
          <t>CUI Handling Certification</t>
        </is>
      </c>
      <c r="E25" s="7" t="inlineStr">
        <is>
          <t>Company</t>
        </is>
      </c>
      <c r="F25" s="7" t="inlineStr">
        <is>
          <t>Security &amp; Compliance</t>
        </is>
      </c>
      <c r="G25" s="49" t="n">
        <v>46099</v>
      </c>
      <c r="H25" s="49" t="n">
        <v>46464</v>
      </c>
      <c r="I25" s="7">
        <f>IF(H25="","N/A",H25-DATE(2026,4,20))</f>
        <v/>
      </c>
      <c r="J25" s="47" t="inlineStr">
        <is>
          <t>Current</t>
        </is>
      </c>
      <c r="K25" s="7" t="inlineStr">
        <is>
          <t>Complete TRN-001 annually</t>
        </is>
      </c>
      <c r="L25" s="54" t="n">
        <v>0</v>
      </c>
      <c r="M25" s="7" t="inlineStr">
        <is>
          <t>Company</t>
        </is>
      </c>
      <c r="N25" s="7" t="inlineStr">
        <is>
          <t>Yes</t>
        </is>
      </c>
      <c r="O25" s="7" t="inlineStr"/>
    </row>
    <row r="26">
      <c r="A26" s="2" t="inlineStr">
        <is>
          <t>CERT-025</t>
        </is>
      </c>
      <c r="B26" s="2" t="inlineStr">
        <is>
          <t>EMP-010</t>
        </is>
      </c>
      <c r="C26" s="3" t="inlineStr">
        <is>
          <t>Crystal N. Davis</t>
        </is>
      </c>
      <c r="D26" s="3" t="inlineStr">
        <is>
          <t>CMS Advanced User Certification</t>
        </is>
      </c>
      <c r="E26" s="3" t="inlineStr">
        <is>
          <t>CMS Vendor</t>
        </is>
      </c>
      <c r="F26" s="3" t="inlineStr">
        <is>
          <t>Systems &amp; Technology</t>
        </is>
      </c>
      <c r="G26" s="46" t="n">
        <v>46117</v>
      </c>
      <c r="H26" s="46" t="n">
        <v>46482</v>
      </c>
      <c r="I26" s="3">
        <f>IF(H26="","N/A",H26-DATE(2026,4,20))</f>
        <v/>
      </c>
      <c r="J26" s="47" t="inlineStr">
        <is>
          <t>Current</t>
        </is>
      </c>
      <c r="K26" s="3" t="inlineStr">
        <is>
          <t>Recertify annually</t>
        </is>
      </c>
      <c r="L26" s="53" t="n">
        <v>150</v>
      </c>
      <c r="M26" s="3" t="inlineStr">
        <is>
          <t>Company</t>
        </is>
      </c>
      <c r="N26" s="3" t="inlineStr">
        <is>
          <t>Yes</t>
        </is>
      </c>
      <c r="O26" s="3" t="inlineStr"/>
    </row>
    <row r="27">
      <c r="A27" s="6" t="inlineStr">
        <is>
          <t>CERT-026</t>
        </is>
      </c>
      <c r="B27" s="6" t="inlineStr">
        <is>
          <t>EMP-011</t>
        </is>
      </c>
      <c r="C27" s="7" t="inlineStr">
        <is>
          <t>Anthony F. Nguyen</t>
        </is>
      </c>
      <c r="D27" s="7" t="inlineStr">
        <is>
          <t>Interim Security Clearance</t>
        </is>
      </c>
      <c r="E27" s="7" t="inlineStr">
        <is>
          <t>DCSA</t>
        </is>
      </c>
      <c r="F27" s="7" t="inlineStr">
        <is>
          <t>Security &amp; Compliance</t>
        </is>
      </c>
      <c r="G27" s="49" t="n">
        <v>46104</v>
      </c>
      <c r="H27" s="49" t="n">
        <v>46288</v>
      </c>
      <c r="I27" s="7">
        <f>IF(H27="","N/A",H27-DATE(2026,4,20))</f>
        <v/>
      </c>
      <c r="J27" s="47" t="inlineStr">
        <is>
          <t>Current</t>
        </is>
      </c>
      <c r="K27" s="7" t="inlineStr">
        <is>
          <t>Upgrade to final clearance</t>
        </is>
      </c>
      <c r="L27" s="54" t="n">
        <v>0</v>
      </c>
      <c r="M27" s="7" t="inlineStr">
        <is>
          <t>Government</t>
        </is>
      </c>
      <c r="N27" s="7" t="inlineStr">
        <is>
          <t>Yes</t>
        </is>
      </c>
      <c r="O27" s="7" t="inlineStr"/>
    </row>
    <row r="28">
      <c r="A28" s="2" t="inlineStr">
        <is>
          <t>CERT-027</t>
        </is>
      </c>
      <c r="B28" s="2" t="inlineStr">
        <is>
          <t>EMP-012</t>
        </is>
      </c>
      <c r="C28" s="3" t="inlineStr">
        <is>
          <t>Michelle R. Johnson</t>
        </is>
      </c>
      <c r="D28" s="3" t="inlineStr">
        <is>
          <t>Final Security Clearance</t>
        </is>
      </c>
      <c r="E28" s="3" t="inlineStr">
        <is>
          <t>DCSA</t>
        </is>
      </c>
      <c r="F28" s="3" t="inlineStr">
        <is>
          <t>Security &amp; Compliance</t>
        </is>
      </c>
      <c r="G28" s="46" t="n">
        <v>46104</v>
      </c>
      <c r="H28" s="46" t="n">
        <v>47930</v>
      </c>
      <c r="I28" s="3">
        <f>IF(H28="","N/A",H28-DATE(2026,4,20))</f>
        <v/>
      </c>
      <c r="J28" s="47" t="inlineStr">
        <is>
          <t>Current</t>
        </is>
      </c>
      <c r="K28" s="3" t="inlineStr">
        <is>
          <t>Reinvestigation every 5 years</t>
        </is>
      </c>
      <c r="L28" s="53" t="n">
        <v>0</v>
      </c>
      <c r="M28" s="3" t="inlineStr">
        <is>
          <t>Government</t>
        </is>
      </c>
      <c r="N28" s="3" t="inlineStr">
        <is>
          <t>Yes</t>
        </is>
      </c>
      <c r="O28" s="3" t="inlineStr"/>
    </row>
    <row r="29">
      <c r="A29" s="6" t="inlineStr">
        <is>
          <t>CERT-028</t>
        </is>
      </c>
      <c r="B29" s="6" t="inlineStr">
        <is>
          <t>EMP-013</t>
        </is>
      </c>
      <c r="C29" s="7" t="inlineStr">
        <is>
          <t>Kevin S. Williams</t>
        </is>
      </c>
      <c r="D29" s="7" t="inlineStr">
        <is>
          <t>Final Security Clearance</t>
        </is>
      </c>
      <c r="E29" s="7" t="inlineStr">
        <is>
          <t>DCSA</t>
        </is>
      </c>
      <c r="F29" s="7" t="inlineStr">
        <is>
          <t>Security &amp; Compliance</t>
        </is>
      </c>
      <c r="G29" s="49" t="n">
        <v>46104</v>
      </c>
      <c r="H29" s="49" t="n">
        <v>47930</v>
      </c>
      <c r="I29" s="7">
        <f>IF(H29="","N/A",H29-DATE(2026,4,20))</f>
        <v/>
      </c>
      <c r="J29" s="47" t="inlineStr">
        <is>
          <t>Current</t>
        </is>
      </c>
      <c r="K29" s="7" t="inlineStr">
        <is>
          <t>Reinvestigation every 5 years</t>
        </is>
      </c>
      <c r="L29" s="54" t="n">
        <v>0</v>
      </c>
      <c r="M29" s="7" t="inlineStr">
        <is>
          <t>Government</t>
        </is>
      </c>
      <c r="N29" s="7" t="inlineStr">
        <is>
          <t>Yes</t>
        </is>
      </c>
      <c r="O29" s="7" t="inlineStr"/>
    </row>
    <row r="30">
      <c r="A30" s="2" t="inlineStr">
        <is>
          <t>CERT-029</t>
        </is>
      </c>
      <c r="B30" s="2" t="inlineStr">
        <is>
          <t>EMP-013</t>
        </is>
      </c>
      <c r="C30" s="3" t="inlineStr">
        <is>
          <t>Kevin S. Williams</t>
        </is>
      </c>
      <c r="D30" s="3" t="inlineStr">
        <is>
          <t>Certified Scrum Master</t>
        </is>
      </c>
      <c r="E30" s="3" t="inlineStr">
        <is>
          <t>Scrum Alliance</t>
        </is>
      </c>
      <c r="F30" s="3" t="inlineStr">
        <is>
          <t>Leadership &amp; Supervision</t>
        </is>
      </c>
      <c r="G30" s="46" t="n">
        <v>45667</v>
      </c>
      <c r="H30" s="46" t="n">
        <v>46397</v>
      </c>
      <c r="I30" s="3">
        <f>IF(H30="","N/A",H30-DATE(2026,4,20))</f>
        <v/>
      </c>
      <c r="J30" s="47" t="inlineStr">
        <is>
          <t>Current</t>
        </is>
      </c>
      <c r="K30" s="3" t="inlineStr">
        <is>
          <t>Earn 20 SEUs every 2 years</t>
        </is>
      </c>
      <c r="L30" s="53" t="n">
        <v>250</v>
      </c>
      <c r="M30" s="3" t="inlineStr">
        <is>
          <t>Company</t>
        </is>
      </c>
      <c r="N30" s="3" t="inlineStr">
        <is>
          <t>Yes</t>
        </is>
      </c>
      <c r="O30" s="3" t="inlineStr"/>
    </row>
    <row r="31">
      <c r="A31" s="6" t="inlineStr">
        <is>
          <t>CERT-030</t>
        </is>
      </c>
      <c r="B31" s="6" t="inlineStr">
        <is>
          <t>EMP-014</t>
        </is>
      </c>
      <c r="C31" s="7" t="inlineStr">
        <is>
          <t>Stephanie D. Garcia</t>
        </is>
      </c>
      <c r="D31" s="7" t="inlineStr">
        <is>
          <t>Interim Security Clearance</t>
        </is>
      </c>
      <c r="E31" s="7" t="inlineStr">
        <is>
          <t>DCSA</t>
        </is>
      </c>
      <c r="F31" s="7" t="inlineStr">
        <is>
          <t>Security &amp; Compliance</t>
        </is>
      </c>
      <c r="G31" s="49" t="n">
        <v>46111</v>
      </c>
      <c r="H31" s="49" t="n">
        <v>46295</v>
      </c>
      <c r="I31" s="7">
        <f>IF(H31="","N/A",H31-DATE(2026,4,20))</f>
        <v/>
      </c>
      <c r="J31" s="47" t="inlineStr">
        <is>
          <t>Current</t>
        </is>
      </c>
      <c r="K31" s="7" t="inlineStr">
        <is>
          <t>Upgrade to final clearance</t>
        </is>
      </c>
      <c r="L31" s="54" t="n">
        <v>0</v>
      </c>
      <c r="M31" s="7" t="inlineStr">
        <is>
          <t>Government</t>
        </is>
      </c>
      <c r="N31" s="7" t="inlineStr">
        <is>
          <t>Yes</t>
        </is>
      </c>
      <c r="O31" s="7" t="inlineStr"/>
    </row>
    <row r="32">
      <c r="A32" s="2" t="inlineStr">
        <is>
          <t>CERT-031</t>
        </is>
      </c>
      <c r="B32" s="2" t="inlineStr">
        <is>
          <t>EMP-015</t>
        </is>
      </c>
      <c r="C32" s="3" t="inlineStr">
        <is>
          <t>Brian E. Thompson</t>
        </is>
      </c>
      <c r="D32" s="3" t="inlineStr">
        <is>
          <t>Interim Security Clearance</t>
        </is>
      </c>
      <c r="E32" s="3" t="inlineStr">
        <is>
          <t>DCSA</t>
        </is>
      </c>
      <c r="F32" s="3" t="inlineStr">
        <is>
          <t>Security &amp; Compliance</t>
        </is>
      </c>
      <c r="G32" s="46" t="n">
        <v>46111</v>
      </c>
      <c r="H32" s="46" t="n">
        <v>46295</v>
      </c>
      <c r="I32" s="3">
        <f>IF(H32="","N/A",H32-DATE(2026,4,20))</f>
        <v/>
      </c>
      <c r="J32" s="47" t="inlineStr">
        <is>
          <t>Current</t>
        </is>
      </c>
      <c r="K32" s="3" t="inlineStr">
        <is>
          <t>Upgrade to final clearance</t>
        </is>
      </c>
      <c r="L32" s="53" t="n">
        <v>0</v>
      </c>
      <c r="M32" s="3" t="inlineStr">
        <is>
          <t>Government</t>
        </is>
      </c>
      <c r="N32" s="3" t="inlineStr">
        <is>
          <t>Yes</t>
        </is>
      </c>
      <c r="O32" s="3" t="inlineStr"/>
    </row>
    <row r="33">
      <c r="A33" s="6" t="inlineStr">
        <is>
          <t>CERT-032</t>
        </is>
      </c>
      <c r="B33" s="6" t="inlineStr">
        <is>
          <t>EMP-016</t>
        </is>
      </c>
      <c r="C33" s="7" t="inlineStr">
        <is>
          <t>Rachel A. Lee</t>
        </is>
      </c>
      <c r="D33" s="7" t="inlineStr">
        <is>
          <t>Final Security Clearance</t>
        </is>
      </c>
      <c r="E33" s="7" t="inlineStr">
        <is>
          <t>DCSA</t>
        </is>
      </c>
      <c r="F33" s="7" t="inlineStr">
        <is>
          <t>Security &amp; Compliance</t>
        </is>
      </c>
      <c r="G33" s="49" t="n">
        <v>46111</v>
      </c>
      <c r="H33" s="49" t="n">
        <v>47937</v>
      </c>
      <c r="I33" s="7">
        <f>IF(H33="","N/A",H33-DATE(2026,4,20))</f>
        <v/>
      </c>
      <c r="J33" s="47" t="inlineStr">
        <is>
          <t>Current</t>
        </is>
      </c>
      <c r="K33" s="7" t="inlineStr">
        <is>
          <t>Reinvestigation every 5 years</t>
        </is>
      </c>
      <c r="L33" s="54" t="n">
        <v>0</v>
      </c>
      <c r="M33" s="7" t="inlineStr">
        <is>
          <t>Government</t>
        </is>
      </c>
      <c r="N33" s="7" t="inlineStr">
        <is>
          <t>Yes</t>
        </is>
      </c>
      <c r="O33" s="7" t="inlineStr"/>
    </row>
    <row r="34">
      <c r="A34" s="2" t="inlineStr">
        <is>
          <t>CERT-033</t>
        </is>
      </c>
      <c r="B34" s="2" t="inlineStr">
        <is>
          <t>EMP-016</t>
        </is>
      </c>
      <c r="C34" s="3" t="inlineStr">
        <is>
          <t>Rachel A. Lee</t>
        </is>
      </c>
      <c r="D34" s="3" t="inlineStr">
        <is>
          <t>Six Sigma Green Belt</t>
        </is>
      </c>
      <c r="E34" s="3" t="inlineStr">
        <is>
          <t>ASQ</t>
        </is>
      </c>
      <c r="F34" s="3" t="inlineStr">
        <is>
          <t>Quality Assurance</t>
        </is>
      </c>
      <c r="G34" s="46" t="n">
        <v>45762</v>
      </c>
      <c r="H34" s="46" t="n">
        <v>46127</v>
      </c>
      <c r="I34" s="3">
        <f>IF(H34="","N/A",H34-DATE(2026,4,20))</f>
        <v/>
      </c>
      <c r="J34" s="52" t="inlineStr">
        <is>
          <t>Expired</t>
        </is>
      </c>
      <c r="K34" s="3" t="inlineStr">
        <is>
          <t>Recertify with exam or RUs</t>
        </is>
      </c>
      <c r="L34" s="53" t="n">
        <v>350</v>
      </c>
      <c r="M34" s="3" t="inlineStr">
        <is>
          <t>Company</t>
        </is>
      </c>
      <c r="N34" s="3" t="inlineStr">
        <is>
          <t>No</t>
        </is>
      </c>
      <c r="O34" s="3" t="inlineStr">
        <is>
          <t>Renewal overdue — action required</t>
        </is>
      </c>
    </row>
    <row r="35">
      <c r="A35" s="6" t="inlineStr">
        <is>
          <t>CERT-034</t>
        </is>
      </c>
      <c r="B35" s="6" t="inlineStr">
        <is>
          <t>EMP-017</t>
        </is>
      </c>
      <c r="C35" s="7" t="inlineStr">
        <is>
          <t>Christopher M. Brown</t>
        </is>
      </c>
      <c r="D35" s="7" t="inlineStr">
        <is>
          <t>Interim Security Clearance</t>
        </is>
      </c>
      <c r="E35" s="7" t="inlineStr">
        <is>
          <t>DCSA</t>
        </is>
      </c>
      <c r="F35" s="7" t="inlineStr">
        <is>
          <t>Security &amp; Compliance</t>
        </is>
      </c>
      <c r="G35" s="49" t="n">
        <v>46118</v>
      </c>
      <c r="H35" s="49" t="n">
        <v>46301</v>
      </c>
      <c r="I35" s="7">
        <f>IF(H35="","N/A",H35-DATE(2026,4,20))</f>
        <v/>
      </c>
      <c r="J35" s="47" t="inlineStr">
        <is>
          <t>Current</t>
        </is>
      </c>
      <c r="K35" s="7" t="inlineStr">
        <is>
          <t>Upgrade to final clearance</t>
        </is>
      </c>
      <c r="L35" s="54" t="n">
        <v>0</v>
      </c>
      <c r="M35" s="7" t="inlineStr">
        <is>
          <t>Government</t>
        </is>
      </c>
      <c r="N35" s="7" t="inlineStr">
        <is>
          <t>Pending</t>
        </is>
      </c>
      <c r="O35" s="7" t="inlineStr">
        <is>
          <t>Documentation pending</t>
        </is>
      </c>
    </row>
    <row r="36">
      <c r="A36" s="2" t="inlineStr">
        <is>
          <t>CERT-035</t>
        </is>
      </c>
      <c r="B36" s="2" t="inlineStr">
        <is>
          <t>EMP-018</t>
        </is>
      </c>
      <c r="C36" s="3" t="inlineStr">
        <is>
          <t>Natalie J. Rivera</t>
        </is>
      </c>
      <c r="D36" s="3" t="inlineStr">
        <is>
          <t>Interim Security Clearance</t>
        </is>
      </c>
      <c r="E36" s="3" t="inlineStr">
        <is>
          <t>DCSA</t>
        </is>
      </c>
      <c r="F36" s="3" t="inlineStr">
        <is>
          <t>Security &amp; Compliance</t>
        </is>
      </c>
      <c r="G36" s="46" t="n">
        <v>46118</v>
      </c>
      <c r="H36" s="46" t="n">
        <v>46301</v>
      </c>
      <c r="I36" s="3">
        <f>IF(H36="","N/A",H36-DATE(2026,4,20))</f>
        <v/>
      </c>
      <c r="J36" s="47" t="inlineStr">
        <is>
          <t>Current</t>
        </is>
      </c>
      <c r="K36" s="3" t="inlineStr">
        <is>
          <t>Upgrade to final clearance</t>
        </is>
      </c>
      <c r="L36" s="53" t="n">
        <v>0</v>
      </c>
      <c r="M36" s="3" t="inlineStr">
        <is>
          <t>Government</t>
        </is>
      </c>
      <c r="N36" s="3" t="inlineStr">
        <is>
          <t>Yes</t>
        </is>
      </c>
      <c r="O36" s="3" t="inlineStr"/>
    </row>
    <row r="37">
      <c r="A37" s="6" t="inlineStr">
        <is>
          <t>CERT-036</t>
        </is>
      </c>
      <c r="B37" s="6" t="inlineStr">
        <is>
          <t>EMP-018</t>
        </is>
      </c>
      <c r="C37" s="7" t="inlineStr">
        <is>
          <t>Natalie J. Rivera</t>
        </is>
      </c>
      <c r="D37" s="7" t="inlineStr">
        <is>
          <t>ITIL Foundation</t>
        </is>
      </c>
      <c r="E37" s="7" t="inlineStr">
        <is>
          <t>Axelos</t>
        </is>
      </c>
      <c r="F37" s="7" t="inlineStr">
        <is>
          <t>Systems &amp; Technology</t>
        </is>
      </c>
      <c r="G37" s="49" t="n">
        <v>45920</v>
      </c>
      <c r="H37" s="49" t="n">
        <v>46162</v>
      </c>
      <c r="I37" s="7">
        <f>IF(H37="","N/A",H37-DATE(2026,4,20))</f>
        <v/>
      </c>
      <c r="J37" s="51" t="inlineStr">
        <is>
          <t>Expiring Soon</t>
        </is>
      </c>
      <c r="K37" s="7" t="inlineStr">
        <is>
          <t>Recertification exam</t>
        </is>
      </c>
      <c r="L37" s="54" t="n">
        <v>300</v>
      </c>
      <c r="M37" s="7" t="inlineStr">
        <is>
          <t>Employee</t>
        </is>
      </c>
      <c r="N37" s="7" t="inlineStr">
        <is>
          <t>Yes</t>
        </is>
      </c>
      <c r="O37" s="7" t="inlineStr">
        <is>
          <t>Exam scheduled for May 2026</t>
        </is>
      </c>
    </row>
    <row r="38">
      <c r="A38" s="2" t="inlineStr">
        <is>
          <t>CERT-037</t>
        </is>
      </c>
      <c r="B38" s="2" t="inlineStr">
        <is>
          <t>EMP-019</t>
        </is>
      </c>
      <c r="C38" s="3" t="inlineStr">
        <is>
          <t>Daniel P. Clarke</t>
        </is>
      </c>
      <c r="D38" s="3" t="inlineStr">
        <is>
          <t>Pending Security Clearance</t>
        </is>
      </c>
      <c r="E38" s="3" t="inlineStr">
        <is>
          <t>DCSA</t>
        </is>
      </c>
      <c r="F38" s="3" t="inlineStr">
        <is>
          <t>Security &amp; Compliance</t>
        </is>
      </c>
      <c r="G38" s="46" t="n">
        <v>46125</v>
      </c>
      <c r="H38" s="46" t="inlineStr"/>
      <c r="I38" s="3">
        <f>IF(H38="","N/A",H38-DATE(2026,4,20))</f>
        <v/>
      </c>
      <c r="J38" s="3" t="inlineStr">
        <is>
          <t>N/A</t>
        </is>
      </c>
      <c r="K38" s="3" t="inlineStr">
        <is>
          <t>Awaiting investigation</t>
        </is>
      </c>
      <c r="L38" s="53" t="n">
        <v>0</v>
      </c>
      <c r="M38" s="3" t="inlineStr">
        <is>
          <t>Government</t>
        </is>
      </c>
      <c r="N38" s="3" t="inlineStr">
        <is>
          <t>Pending</t>
        </is>
      </c>
      <c r="O38" s="3" t="inlineStr">
        <is>
          <t>Application submitted</t>
        </is>
      </c>
    </row>
    <row r="39">
      <c r="A39" s="6" t="inlineStr">
        <is>
          <t>CERT-038</t>
        </is>
      </c>
      <c r="B39" s="6" t="inlineStr">
        <is>
          <t>EMP-020</t>
        </is>
      </c>
      <c r="C39" s="7" t="inlineStr">
        <is>
          <t>Samantha H. Foster</t>
        </is>
      </c>
      <c r="D39" s="7" t="inlineStr">
        <is>
          <t>Pending Security Clearance</t>
        </is>
      </c>
      <c r="E39" s="7" t="inlineStr">
        <is>
          <t>DCSA</t>
        </is>
      </c>
      <c r="F39" s="7" t="inlineStr">
        <is>
          <t>Security &amp; Compliance</t>
        </is>
      </c>
      <c r="G39" s="49" t="n">
        <v>46125</v>
      </c>
      <c r="H39" s="49" t="inlineStr"/>
      <c r="I39" s="7">
        <f>IF(H39="","N/A",H39-DATE(2026,4,20))</f>
        <v/>
      </c>
      <c r="J39" s="7" t="inlineStr">
        <is>
          <t>N/A</t>
        </is>
      </c>
      <c r="K39" s="7" t="inlineStr">
        <is>
          <t>Awaiting investigation</t>
        </is>
      </c>
      <c r="L39" s="54" t="n">
        <v>0</v>
      </c>
      <c r="M39" s="7" t="inlineStr">
        <is>
          <t>Government</t>
        </is>
      </c>
      <c r="N39" s="7" t="inlineStr">
        <is>
          <t>Pending</t>
        </is>
      </c>
      <c r="O39" s="7" t="inlineStr">
        <is>
          <t>Application submitted</t>
        </is>
      </c>
    </row>
    <row r="40">
      <c r="A40" s="2" t="inlineStr">
        <is>
          <t>CERT-039</t>
        </is>
      </c>
      <c r="B40" s="2" t="inlineStr">
        <is>
          <t>EMP-007</t>
        </is>
      </c>
      <c r="C40" s="3" t="inlineStr">
        <is>
          <t>Michael D. Torres</t>
        </is>
      </c>
      <c r="D40" s="3" t="inlineStr">
        <is>
          <t>CPR/First Aid</t>
        </is>
      </c>
      <c r="E40" s="3" t="inlineStr">
        <is>
          <t>American Red Cross</t>
        </is>
      </c>
      <c r="F40" s="3" t="inlineStr">
        <is>
          <t>Operations &amp; Processes</t>
        </is>
      </c>
      <c r="G40" s="46" t="n">
        <v>45809</v>
      </c>
      <c r="H40" s="46" t="n">
        <v>46143</v>
      </c>
      <c r="I40" s="3">
        <f>IF(H40="","N/A",H40-DATE(2026,4,20))</f>
        <v/>
      </c>
      <c r="J40" s="51" t="inlineStr">
        <is>
          <t>Expiring Soon</t>
        </is>
      </c>
      <c r="K40" s="3" t="inlineStr">
        <is>
          <t>Retake certification course</t>
        </is>
      </c>
      <c r="L40" s="53" t="n">
        <v>75</v>
      </c>
      <c r="M40" s="3" t="inlineStr">
        <is>
          <t>Company</t>
        </is>
      </c>
      <c r="N40" s="3" t="inlineStr">
        <is>
          <t>Yes</t>
        </is>
      </c>
      <c r="O40" s="3" t="inlineStr">
        <is>
          <t>Renewal class scheduled Apr 28</t>
        </is>
      </c>
    </row>
    <row r="41">
      <c r="A41" s="6" t="inlineStr">
        <is>
          <t>CERT-040</t>
        </is>
      </c>
      <c r="B41" s="6" t="inlineStr">
        <is>
          <t>EMP-004</t>
        </is>
      </c>
      <c r="C41" s="7" t="inlineStr">
        <is>
          <t>Jennifer A. Collins</t>
        </is>
      </c>
      <c r="D41" s="7" t="inlineStr">
        <is>
          <t>CPR/First Aid</t>
        </is>
      </c>
      <c r="E41" s="7" t="inlineStr">
        <is>
          <t>American Red Cross</t>
        </is>
      </c>
      <c r="F41" s="7" t="inlineStr">
        <is>
          <t>Operations &amp; Processes</t>
        </is>
      </c>
      <c r="G41" s="49" t="n">
        <v>45792</v>
      </c>
      <c r="H41" s="49" t="n">
        <v>46157</v>
      </c>
      <c r="I41" s="7">
        <f>IF(H41="","N/A",H41-DATE(2026,4,20))</f>
        <v/>
      </c>
      <c r="J41" s="51" t="inlineStr">
        <is>
          <t>Expiring Soon</t>
        </is>
      </c>
      <c r="K41" s="7" t="inlineStr">
        <is>
          <t>Retake certification course</t>
        </is>
      </c>
      <c r="L41" s="54" t="n">
        <v>75</v>
      </c>
      <c r="M41" s="7" t="inlineStr">
        <is>
          <t>Company</t>
        </is>
      </c>
      <c r="N41" s="7" t="inlineStr">
        <is>
          <t>Yes</t>
        </is>
      </c>
      <c r="O41" s="7" t="inlineStr"/>
    </row>
  </sheetData>
  <dataValidations count="3">
    <dataValidation sqref="J2:J41" showDropDown="0" showInputMessage="0" showErrorMessage="0" allowBlank="1" type="list">
      <formula1>"Current,Expiring Soon,Expired,Renewal In Progress,N/A"</formula1>
    </dataValidation>
    <dataValidation sqref="M2:M41" showDropDown="0" showInputMessage="0" showErrorMessage="0" allowBlank="1" type="list">
      <formula1>"Company,Employee,Government"</formula1>
    </dataValidation>
    <dataValidation sqref="N2:N41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6" customWidth="1" min="4" max="4"/>
    <col width="14" customWidth="1" min="5" max="5"/>
    <col width="12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  <col width="18" customWidth="1" min="12" max="12"/>
    <col width="35" customWidth="1" min="13" max="13"/>
    <col width="14" customWidth="1" min="14" max="14"/>
    <col width="14" customWidth="1" min="15" max="15"/>
  </cols>
  <sheetData>
    <row r="1">
      <c r="A1" s="1" t="inlineStr">
        <is>
          <t>Module ID</t>
        </is>
      </c>
      <c r="B1" s="1" t="inlineStr">
        <is>
          <t>Module Name</t>
        </is>
      </c>
      <c r="C1" s="1" t="inlineStr">
        <is>
          <t>Category</t>
        </is>
      </c>
      <c r="D1" s="1" t="inlineStr">
        <is>
          <t>Total Completions</t>
        </is>
      </c>
      <c r="E1" s="1" t="inlineStr">
        <is>
          <t>Average Score</t>
        </is>
      </c>
      <c r="F1" s="1" t="inlineStr">
        <is>
          <t>Pass Rate</t>
        </is>
      </c>
      <c r="G1" s="1" t="inlineStr">
        <is>
          <t>Avg Time to Complete (hrs)</t>
        </is>
      </c>
      <c r="H1" s="1" t="inlineStr">
        <is>
          <t>Student Satisfaction (1-5)</t>
        </is>
      </c>
      <c r="I1" s="1" t="inlineStr">
        <is>
          <t>Knowledge Retention Score</t>
        </is>
      </c>
      <c r="J1" s="1" t="inlineStr">
        <is>
          <t>On-the-Job Application Rating</t>
        </is>
      </c>
      <c r="K1" s="1" t="inlineStr">
        <is>
          <t>Effectiveness Rating</t>
        </is>
      </c>
      <c r="L1" s="1" t="inlineStr">
        <is>
          <t>Instructor Rating (1-5)</t>
        </is>
      </c>
      <c r="M1" s="1" t="inlineStr">
        <is>
          <t>Recommended Changes</t>
        </is>
      </c>
      <c r="N1" s="1" t="inlineStr">
        <is>
          <t>Last Reviewed</t>
        </is>
      </c>
      <c r="O1" s="1" t="inlineStr">
        <is>
          <t>Next Review Date</t>
        </is>
      </c>
    </row>
    <row r="2">
      <c r="A2" s="2" t="inlineStr">
        <is>
          <t>TRN-001</t>
        </is>
      </c>
      <c r="B2" s="3" t="inlineStr">
        <is>
          <t>CUI Handling &amp; Marking</t>
        </is>
      </c>
      <c r="C2" s="3" t="inlineStr">
        <is>
          <t>Security &amp; Compliance</t>
        </is>
      </c>
      <c r="D2" s="2" t="n">
        <v>18</v>
      </c>
      <c r="E2" s="55" t="n">
        <v>90.2</v>
      </c>
      <c r="F2" s="56" t="n">
        <v>0.9399999999999999</v>
      </c>
      <c r="G2" s="55" t="n">
        <v>1.8</v>
      </c>
      <c r="H2" s="55" t="n">
        <v>4.3</v>
      </c>
      <c r="I2" s="2" t="n">
        <v>88</v>
      </c>
      <c r="J2" s="2" t="n">
        <v>4.2</v>
      </c>
      <c r="K2" s="57" t="inlineStr">
        <is>
          <t>Highly Effective</t>
        </is>
      </c>
      <c r="L2" s="55" t="n">
        <v>4.5</v>
      </c>
      <c r="M2" s="3" t="inlineStr">
        <is>
          <t>Add more real-world examples</t>
        </is>
      </c>
      <c r="N2" s="46" t="n">
        <v>46113</v>
      </c>
      <c r="O2" s="46" t="n">
        <v>46204</v>
      </c>
    </row>
    <row r="3">
      <c r="A3" s="6" t="inlineStr">
        <is>
          <t>TRN-002</t>
        </is>
      </c>
      <c r="B3" s="7" t="inlineStr">
        <is>
          <t>NIST 800-171 Security Awareness</t>
        </is>
      </c>
      <c r="C3" s="7" t="inlineStr">
        <is>
          <t>Security &amp; Compliance</t>
        </is>
      </c>
      <c r="D3" s="6" t="n">
        <v>17</v>
      </c>
      <c r="E3" s="58" t="n">
        <v>86.5</v>
      </c>
      <c r="F3" s="59" t="n">
        <v>0.88</v>
      </c>
      <c r="G3" s="58" t="n">
        <v>1.4</v>
      </c>
      <c r="H3" s="58" t="n">
        <v>3.8</v>
      </c>
      <c r="I3" s="6" t="n">
        <v>82</v>
      </c>
      <c r="J3" s="6" t="n">
        <v>3.9</v>
      </c>
      <c r="K3" s="60" t="inlineStr">
        <is>
          <t>Effective</t>
        </is>
      </c>
      <c r="L3" s="58" t="n">
        <v>4.2</v>
      </c>
      <c r="M3" s="7" t="inlineStr">
        <is>
          <t>Simplify technical jargon</t>
        </is>
      </c>
      <c r="N3" s="49" t="n">
        <v>46113</v>
      </c>
      <c r="O3" s="49" t="n">
        <v>46204</v>
      </c>
    </row>
    <row r="4">
      <c r="A4" s="2" t="inlineStr">
        <is>
          <t>TRN-003</t>
        </is>
      </c>
      <c r="B4" s="3" t="inlineStr">
        <is>
          <t>PII Protection</t>
        </is>
      </c>
      <c r="C4" s="3" t="inlineStr">
        <is>
          <t>Security &amp; Compliance</t>
        </is>
      </c>
      <c r="D4" s="2" t="n">
        <v>18</v>
      </c>
      <c r="E4" s="55" t="n">
        <v>88.7</v>
      </c>
      <c r="F4" s="56" t="n">
        <v>0.9399999999999999</v>
      </c>
      <c r="G4" s="55" t="n">
        <v>0.9</v>
      </c>
      <c r="H4" s="55" t="n">
        <v>4.5</v>
      </c>
      <c r="I4" s="2" t="n">
        <v>90</v>
      </c>
      <c r="J4" s="2" t="n">
        <v>4.4</v>
      </c>
      <c r="K4" s="57" t="inlineStr">
        <is>
          <t>Highly Effective</t>
        </is>
      </c>
      <c r="L4" s="55" t="n">
        <v>4.6</v>
      </c>
      <c r="M4" s="3" t="inlineStr">
        <is>
          <t>None — performing well</t>
        </is>
      </c>
      <c r="N4" s="46" t="n">
        <v>46113</v>
      </c>
      <c r="O4" s="46" t="n">
        <v>46204</v>
      </c>
    </row>
    <row r="5">
      <c r="A5" s="6" t="inlineStr">
        <is>
          <t>TRN-004</t>
        </is>
      </c>
      <c r="B5" s="7" t="inlineStr">
        <is>
          <t>Insider Threat Awareness</t>
        </is>
      </c>
      <c r="C5" s="7" t="inlineStr">
        <is>
          <t>Security &amp; Compliance</t>
        </is>
      </c>
      <c r="D5" s="6" t="n">
        <v>14</v>
      </c>
      <c r="E5" s="58" t="n">
        <v>83.09999999999999</v>
      </c>
      <c r="F5" s="59" t="n">
        <v>0.93</v>
      </c>
      <c r="G5" s="58" t="n">
        <v>1.9</v>
      </c>
      <c r="H5" s="58" t="n">
        <v>4.1</v>
      </c>
      <c r="I5" s="6" t="n">
        <v>80</v>
      </c>
      <c r="J5" s="6" t="n">
        <v>3.8</v>
      </c>
      <c r="K5" s="60" t="inlineStr">
        <is>
          <t>Effective</t>
        </is>
      </c>
      <c r="L5" s="58" t="n">
        <v>4.3</v>
      </c>
      <c r="M5" s="7" t="inlineStr">
        <is>
          <t>Update case studies to 2026 scenarios</t>
        </is>
      </c>
      <c r="N5" s="49" t="n">
        <v>46096</v>
      </c>
      <c r="O5" s="49" t="n">
        <v>46188</v>
      </c>
    </row>
    <row r="6">
      <c r="A6" s="2" t="inlineStr">
        <is>
          <t>TRN-005</t>
        </is>
      </c>
      <c r="B6" s="3" t="inlineStr">
        <is>
          <t>Incident Reporting Procedures</t>
        </is>
      </c>
      <c r="C6" s="3" t="inlineStr">
        <is>
          <t>Security &amp; Compliance</t>
        </is>
      </c>
      <c r="D6" s="2" t="n">
        <v>13</v>
      </c>
      <c r="E6" s="55" t="n">
        <v>85.8</v>
      </c>
      <c r="F6" s="56" t="n">
        <v>0.85</v>
      </c>
      <c r="G6" s="55" t="n">
        <v>1.6</v>
      </c>
      <c r="H6" s="55" t="n">
        <v>3.9</v>
      </c>
      <c r="I6" s="2" t="n">
        <v>78</v>
      </c>
      <c r="J6" s="2" t="n">
        <v>3.7</v>
      </c>
      <c r="K6" s="60" t="inlineStr">
        <is>
          <t>Effective</t>
        </is>
      </c>
      <c r="L6" s="55" t="n">
        <v>4</v>
      </c>
      <c r="M6" s="3" t="inlineStr">
        <is>
          <t>Add hands-on simulation exercise</t>
        </is>
      </c>
      <c r="N6" s="46" t="n">
        <v>46096</v>
      </c>
      <c r="O6" s="46" t="n">
        <v>46188</v>
      </c>
    </row>
    <row r="7">
      <c r="A7" s="6" t="inlineStr">
        <is>
          <t>TRN-006</t>
        </is>
      </c>
      <c r="B7" s="7" t="inlineStr">
        <is>
          <t>Physical Security for Remote Workers</t>
        </is>
      </c>
      <c r="C7" s="7" t="inlineStr">
        <is>
          <t>Security &amp; Compliance</t>
        </is>
      </c>
      <c r="D7" s="6" t="n">
        <v>16</v>
      </c>
      <c r="E7" s="58" t="n">
        <v>86.40000000000001</v>
      </c>
      <c r="F7" s="59" t="n">
        <v>0.9399999999999999</v>
      </c>
      <c r="G7" s="58" t="n">
        <v>0.9</v>
      </c>
      <c r="H7" s="58" t="n">
        <v>4</v>
      </c>
      <c r="I7" s="6" t="n">
        <v>84</v>
      </c>
      <c r="J7" s="6" t="n">
        <v>4.1</v>
      </c>
      <c r="K7" s="57" t="inlineStr">
        <is>
          <t>Highly Effective</t>
        </is>
      </c>
      <c r="L7" s="58" t="n">
        <v>4.2</v>
      </c>
      <c r="M7" s="7" t="inlineStr">
        <is>
          <t>Include home office photo examples</t>
        </is>
      </c>
      <c r="N7" s="49" t="n">
        <v>46113</v>
      </c>
      <c r="O7" s="49" t="n">
        <v>46204</v>
      </c>
    </row>
    <row r="8">
      <c r="A8" s="2" t="inlineStr">
        <is>
          <t>TRN-007</t>
        </is>
      </c>
      <c r="B8" s="3" t="inlineStr">
        <is>
          <t>VPN &amp; Secure Remote Access Setup</t>
        </is>
      </c>
      <c r="C8" s="3" t="inlineStr">
        <is>
          <t>Systems &amp; Technology</t>
        </is>
      </c>
      <c r="D8" s="2" t="n">
        <v>18</v>
      </c>
      <c r="E8" s="55" t="n">
        <v>100</v>
      </c>
      <c r="F8" s="56" t="n">
        <v>1</v>
      </c>
      <c r="G8" s="55" t="n">
        <v>2.1</v>
      </c>
      <c r="H8" s="55" t="n">
        <v>4.2</v>
      </c>
      <c r="I8" s="2" t="n">
        <v>95</v>
      </c>
      <c r="J8" s="2" t="n">
        <v>4.6</v>
      </c>
      <c r="K8" s="57" t="inlineStr">
        <is>
          <t>Highly Effective</t>
        </is>
      </c>
      <c r="L8" s="55" t="n">
        <v>4.7</v>
      </c>
      <c r="M8" s="3" t="inlineStr">
        <is>
          <t>None — critical and well-delivered</t>
        </is>
      </c>
      <c r="N8" s="46" t="n">
        <v>46113</v>
      </c>
      <c r="O8" s="46" t="n">
        <v>46204</v>
      </c>
    </row>
    <row r="9">
      <c r="A9" s="6" t="inlineStr">
        <is>
          <t>TRN-008</t>
        </is>
      </c>
      <c r="B9" s="7" t="inlineStr">
        <is>
          <t>Case Management System Training</t>
        </is>
      </c>
      <c r="C9" s="7" t="inlineStr">
        <is>
          <t>Systems &amp; Technology</t>
        </is>
      </c>
      <c r="D9" s="6" t="n">
        <v>8</v>
      </c>
      <c r="E9" s="58" t="n">
        <v>82.40000000000001</v>
      </c>
      <c r="F9" s="59" t="n">
        <v>0.88</v>
      </c>
      <c r="G9" s="58" t="n">
        <v>8.5</v>
      </c>
      <c r="H9" s="58" t="n">
        <v>3.6</v>
      </c>
      <c r="I9" s="6" t="n">
        <v>72</v>
      </c>
      <c r="J9" s="6" t="n">
        <v>3.4</v>
      </c>
      <c r="K9" s="52" t="inlineStr">
        <is>
          <t>Needs Improvement</t>
        </is>
      </c>
      <c r="L9" s="58" t="n">
        <v>3.8</v>
      </c>
      <c r="M9" s="7" t="inlineStr">
        <is>
          <t>Extend lab time; add more practice scenarios</t>
        </is>
      </c>
      <c r="N9" s="49" t="n">
        <v>46122</v>
      </c>
      <c r="O9" s="49" t="n">
        <v>46152</v>
      </c>
    </row>
    <row r="10">
      <c r="A10" s="2" t="inlineStr">
        <is>
          <t>TRN-009</t>
        </is>
      </c>
      <c r="B10" s="3" t="inlineStr">
        <is>
          <t>Collaboration Tools (Teams/SharePoint)</t>
        </is>
      </c>
      <c r="C10" s="3" t="inlineStr">
        <is>
          <t>Systems &amp; Technology</t>
        </is>
      </c>
      <c r="D10" s="2" t="n">
        <v>14</v>
      </c>
      <c r="E10" s="55" t="n">
        <v>0</v>
      </c>
      <c r="F10" s="56" t="n">
        <v>1</v>
      </c>
      <c r="G10" s="55" t="n">
        <v>1.3</v>
      </c>
      <c r="H10" s="55" t="n">
        <v>4.4</v>
      </c>
      <c r="I10" s="2" t="n">
        <v>85</v>
      </c>
      <c r="J10" s="2" t="n">
        <v>4.3</v>
      </c>
      <c r="K10" s="60" t="inlineStr">
        <is>
          <t>Effective</t>
        </is>
      </c>
      <c r="L10" s="55" t="n">
        <v>4.1</v>
      </c>
      <c r="M10" s="3" t="inlineStr">
        <is>
          <t>Add SharePoint advanced features section</t>
        </is>
      </c>
      <c r="N10" s="46" t="n">
        <v>46096</v>
      </c>
      <c r="O10" s="46" t="n">
        <v>46188</v>
      </c>
    </row>
    <row r="11">
      <c r="A11" s="6" t="inlineStr">
        <is>
          <t>TRN-010</t>
        </is>
      </c>
      <c r="B11" s="7" t="inlineStr">
        <is>
          <t>Secure Document Management</t>
        </is>
      </c>
      <c r="C11" s="7" t="inlineStr">
        <is>
          <t>Systems &amp; Technology</t>
        </is>
      </c>
      <c r="D11" s="6" t="n">
        <v>13</v>
      </c>
      <c r="E11" s="58" t="n">
        <v>82.8</v>
      </c>
      <c r="F11" s="59" t="n">
        <v>0.85</v>
      </c>
      <c r="G11" s="58" t="n">
        <v>2</v>
      </c>
      <c r="H11" s="58" t="n">
        <v>3.7</v>
      </c>
      <c r="I11" s="6" t="n">
        <v>76</v>
      </c>
      <c r="J11" s="6" t="n">
        <v>3.6</v>
      </c>
      <c r="K11" s="60" t="inlineStr">
        <is>
          <t>Effective</t>
        </is>
      </c>
      <c r="L11" s="58" t="n">
        <v>3.9</v>
      </c>
      <c r="M11" s="7" t="inlineStr">
        <is>
          <t>Provide more classification examples</t>
        </is>
      </c>
      <c r="N11" s="49" t="n">
        <v>46096</v>
      </c>
      <c r="O11" s="49" t="n">
        <v>46188</v>
      </c>
    </row>
    <row r="12">
      <c r="A12" s="2" t="inlineStr">
        <is>
          <t>TRN-011</t>
        </is>
      </c>
      <c r="B12" s="3" t="inlineStr">
        <is>
          <t>Reporting &amp; Analytics Tools</t>
        </is>
      </c>
      <c r="C12" s="3" t="inlineStr">
        <is>
          <t>Systems &amp; Technology</t>
        </is>
      </c>
      <c r="D12" s="2" t="n">
        <v>4</v>
      </c>
      <c r="E12" s="55" t="n">
        <v>83.5</v>
      </c>
      <c r="F12" s="56" t="n">
        <v>1</v>
      </c>
      <c r="G12" s="55" t="n">
        <v>3.2</v>
      </c>
      <c r="H12" s="55" t="n">
        <v>3.5</v>
      </c>
      <c r="I12" s="2" t="n">
        <v>70</v>
      </c>
      <c r="J12" s="2" t="n">
        <v>3.3</v>
      </c>
      <c r="K12" s="52" t="inlineStr">
        <is>
          <t>Needs Improvement</t>
        </is>
      </c>
      <c r="L12" s="55" t="n">
        <v>3.7</v>
      </c>
      <c r="M12" s="3" t="inlineStr">
        <is>
          <t>Redesign curriculum for self-paced option</t>
        </is>
      </c>
      <c r="N12" s="46" t="n">
        <v>46127</v>
      </c>
      <c r="O12" s="46" t="n">
        <v>46157</v>
      </c>
    </row>
    <row r="13">
      <c r="A13" s="6" t="inlineStr">
        <is>
          <t>TRN-012</t>
        </is>
      </c>
      <c r="B13" s="7" t="inlineStr">
        <is>
          <t>Multi-Factor Authentication &amp; Account Security</t>
        </is>
      </c>
      <c r="C13" s="7" t="inlineStr">
        <is>
          <t>Systems &amp; Technology</t>
        </is>
      </c>
      <c r="D13" s="6" t="n">
        <v>18</v>
      </c>
      <c r="E13" s="58" t="n">
        <v>100</v>
      </c>
      <c r="F13" s="59" t="n">
        <v>1</v>
      </c>
      <c r="G13" s="58" t="n">
        <v>0.4</v>
      </c>
      <c r="H13" s="58" t="n">
        <v>4.6</v>
      </c>
      <c r="I13" s="6" t="n">
        <v>96</v>
      </c>
      <c r="J13" s="6" t="n">
        <v>4.7</v>
      </c>
      <c r="K13" s="57" t="inlineStr">
        <is>
          <t>Highly Effective</t>
        </is>
      </c>
      <c r="L13" s="58" t="n">
        <v>4.8</v>
      </c>
      <c r="M13" s="7" t="inlineStr">
        <is>
          <t>None — streamlined and effective</t>
        </is>
      </c>
      <c r="N13" s="49" t="n">
        <v>46113</v>
      </c>
      <c r="O13" s="49" t="n">
        <v>46204</v>
      </c>
    </row>
    <row r="14">
      <c r="A14" s="2" t="inlineStr">
        <is>
          <t>TRN-013</t>
        </is>
      </c>
      <c r="B14" s="3" t="inlineStr">
        <is>
          <t>Standard Operating Procedures Overview</t>
        </is>
      </c>
      <c r="C14" s="3" t="inlineStr">
        <is>
          <t>Operations &amp; Processes</t>
        </is>
      </c>
      <c r="D14" s="2" t="n">
        <v>12</v>
      </c>
      <c r="E14" s="55" t="n">
        <v>83.2</v>
      </c>
      <c r="F14" s="56" t="n">
        <v>0.92</v>
      </c>
      <c r="G14" s="55" t="n">
        <v>4.2</v>
      </c>
      <c r="H14" s="55" t="n">
        <v>3.4</v>
      </c>
      <c r="I14" s="2" t="n">
        <v>74</v>
      </c>
      <c r="J14" s="2" t="n">
        <v>3.5</v>
      </c>
      <c r="K14" s="60" t="inlineStr">
        <is>
          <t>Effective</t>
        </is>
      </c>
      <c r="L14" s="55" t="n">
        <v>3.8</v>
      </c>
      <c r="M14" s="3" t="inlineStr">
        <is>
          <t>Break into smaller modules</t>
        </is>
      </c>
      <c r="N14" s="46" t="n">
        <v>46122</v>
      </c>
      <c r="O14" s="46" t="n">
        <v>46183</v>
      </c>
    </row>
    <row r="15">
      <c r="A15" s="6" t="inlineStr">
        <is>
          <t>TRN-014</t>
        </is>
      </c>
      <c r="B15" s="7" t="inlineStr">
        <is>
          <t>Workflow &amp; Escalation Procedures</t>
        </is>
      </c>
      <c r="C15" s="7" t="inlineStr">
        <is>
          <t>Operations &amp; Processes</t>
        </is>
      </c>
      <c r="D15" s="6" t="n">
        <v>10</v>
      </c>
      <c r="E15" s="58" t="n">
        <v>82.59999999999999</v>
      </c>
      <c r="F15" s="59" t="n">
        <v>0.9</v>
      </c>
      <c r="G15" s="58" t="n">
        <v>3.1</v>
      </c>
      <c r="H15" s="58" t="n">
        <v>3.6</v>
      </c>
      <c r="I15" s="6" t="n">
        <v>72</v>
      </c>
      <c r="J15" s="6" t="n">
        <v>3.4</v>
      </c>
      <c r="K15" s="52" t="inlineStr">
        <is>
          <t>Needs Improvement</t>
        </is>
      </c>
      <c r="L15" s="58" t="n">
        <v>3.7</v>
      </c>
      <c r="M15" s="7" t="inlineStr">
        <is>
          <t>Add more escalation practice scenarios</t>
        </is>
      </c>
      <c r="N15" s="49" t="n">
        <v>46122</v>
      </c>
      <c r="O15" s="49" t="n">
        <v>46183</v>
      </c>
    </row>
    <row r="16">
      <c r="A16" s="2" t="inlineStr">
        <is>
          <t>TRN-015</t>
        </is>
      </c>
      <c r="B16" s="3" t="inlineStr">
        <is>
          <t>Time &amp; Attendance Reporting</t>
        </is>
      </c>
      <c r="C16" s="3" t="inlineStr">
        <is>
          <t>Operations &amp; Processes</t>
        </is>
      </c>
      <c r="D16" s="2" t="n">
        <v>14</v>
      </c>
      <c r="E16" s="55" t="n">
        <v>0</v>
      </c>
      <c r="F16" s="56" t="n">
        <v>1</v>
      </c>
      <c r="G16" s="55" t="n">
        <v>0.8</v>
      </c>
      <c r="H16" s="55" t="n">
        <v>4.2</v>
      </c>
      <c r="I16" s="2" t="n">
        <v>88</v>
      </c>
      <c r="J16" s="2" t="n">
        <v>4.3</v>
      </c>
      <c r="K16" s="60" t="inlineStr">
        <is>
          <t>Effective</t>
        </is>
      </c>
      <c r="L16" s="55" t="n">
        <v>4</v>
      </c>
      <c r="M16" s="3" t="inlineStr">
        <is>
          <t>Update screenshots for new timesheet system</t>
        </is>
      </c>
      <c r="N16" s="46" t="n">
        <v>46096</v>
      </c>
      <c r="O16" s="46" t="n">
        <v>46188</v>
      </c>
    </row>
    <row r="17">
      <c r="A17" s="6" t="inlineStr">
        <is>
          <t>TRN-016</t>
        </is>
      </c>
      <c r="B17" s="7" t="inlineStr">
        <is>
          <t>Contract Compliance &amp; SLA Awareness</t>
        </is>
      </c>
      <c r="C17" s="7" t="inlineStr">
        <is>
          <t>Operations &amp; Processes</t>
        </is>
      </c>
      <c r="D17" s="6" t="n">
        <v>9</v>
      </c>
      <c r="E17" s="58" t="n">
        <v>87.09999999999999</v>
      </c>
      <c r="F17" s="59" t="n">
        <v>0.89</v>
      </c>
      <c r="G17" s="58" t="n">
        <v>2.1</v>
      </c>
      <c r="H17" s="58" t="n">
        <v>3.5</v>
      </c>
      <c r="I17" s="6" t="n">
        <v>76</v>
      </c>
      <c r="J17" s="6" t="n">
        <v>3.5</v>
      </c>
      <c r="K17" s="60" t="inlineStr">
        <is>
          <t>Effective</t>
        </is>
      </c>
      <c r="L17" s="58" t="n">
        <v>3.9</v>
      </c>
      <c r="M17" s="7" t="inlineStr">
        <is>
          <t>Include more SLA dashboard walkthroughs</t>
        </is>
      </c>
      <c r="N17" s="49" t="n">
        <v>46122</v>
      </c>
      <c r="O17" s="49" t="n">
        <v>46183</v>
      </c>
    </row>
    <row r="18">
      <c r="A18" s="2" t="inlineStr">
        <is>
          <t>TRN-017</t>
        </is>
      </c>
      <c r="B18" s="3" t="inlineStr">
        <is>
          <t>Records Management &amp; Retention</t>
        </is>
      </c>
      <c r="C18" s="3" t="inlineStr">
        <is>
          <t>Operations &amp; Processes</t>
        </is>
      </c>
      <c r="D18" s="2" t="n">
        <v>6</v>
      </c>
      <c r="E18" s="55" t="n">
        <v>82</v>
      </c>
      <c r="F18" s="56" t="n">
        <v>0.83</v>
      </c>
      <c r="G18" s="55" t="n">
        <v>1.6</v>
      </c>
      <c r="H18" s="55" t="n">
        <v>3.3</v>
      </c>
      <c r="I18" s="2" t="n">
        <v>68</v>
      </c>
      <c r="J18" s="2" t="n">
        <v>3.2</v>
      </c>
      <c r="K18" s="52" t="inlineStr">
        <is>
          <t>Needs Improvement</t>
        </is>
      </c>
      <c r="L18" s="55" t="n">
        <v>3.5</v>
      </c>
      <c r="M18" s="3" t="inlineStr">
        <is>
          <t>Modernize content; add interactive elements</t>
        </is>
      </c>
      <c r="N18" s="46" t="n">
        <v>46122</v>
      </c>
      <c r="O18" s="46" t="n">
        <v>46152</v>
      </c>
    </row>
    <row r="19">
      <c r="A19" s="6" t="inlineStr">
        <is>
          <t>TRN-018</t>
        </is>
      </c>
      <c r="B19" s="7" t="inlineStr">
        <is>
          <t>Telework Policy &amp; Expectations</t>
        </is>
      </c>
      <c r="C19" s="7" t="inlineStr">
        <is>
          <t>Operations &amp; Processes</t>
        </is>
      </c>
      <c r="D19" s="6" t="n">
        <v>16</v>
      </c>
      <c r="E19" s="58" t="n">
        <v>0</v>
      </c>
      <c r="F19" s="59" t="n">
        <v>1</v>
      </c>
      <c r="G19" s="58" t="n">
        <v>0.9</v>
      </c>
      <c r="H19" s="58" t="n">
        <v>4.3</v>
      </c>
      <c r="I19" s="6" t="n">
        <v>90</v>
      </c>
      <c r="J19" s="6" t="n">
        <v>4.5</v>
      </c>
      <c r="K19" s="57" t="inlineStr">
        <is>
          <t>Highly Effective</t>
        </is>
      </c>
      <c r="L19" s="58" t="n">
        <v>4.1</v>
      </c>
      <c r="M19" s="7" t="inlineStr">
        <is>
          <t>None — self-paced format works well</t>
        </is>
      </c>
      <c r="N19" s="49" t="n">
        <v>46113</v>
      </c>
      <c r="O19" s="49" t="n">
        <v>46204</v>
      </c>
    </row>
    <row r="20">
      <c r="A20" s="2" t="inlineStr">
        <is>
          <t>TRN-019</t>
        </is>
      </c>
      <c r="B20" s="3" t="inlineStr">
        <is>
          <t>Customer Service Excellence</t>
        </is>
      </c>
      <c r="C20" s="3" t="inlineStr">
        <is>
          <t>Customer Service</t>
        </is>
      </c>
      <c r="D20" s="2" t="n">
        <v>7</v>
      </c>
      <c r="E20" s="55" t="n">
        <v>82.90000000000001</v>
      </c>
      <c r="F20" s="56" t="n">
        <v>0.86</v>
      </c>
      <c r="G20" s="55" t="n">
        <v>4.3</v>
      </c>
      <c r="H20" s="55" t="n">
        <v>3.8</v>
      </c>
      <c r="I20" s="2" t="n">
        <v>74</v>
      </c>
      <c r="J20" s="2" t="n">
        <v>3.6</v>
      </c>
      <c r="K20" s="60" t="inlineStr">
        <is>
          <t>Effective</t>
        </is>
      </c>
      <c r="L20" s="55" t="n">
        <v>4.1</v>
      </c>
      <c r="M20" s="3" t="inlineStr">
        <is>
          <t>Add more role-play time</t>
        </is>
      </c>
      <c r="N20" s="46" t="n">
        <v>46122</v>
      </c>
      <c r="O20" s="46" t="n">
        <v>46183</v>
      </c>
    </row>
    <row r="21">
      <c r="A21" s="6" t="inlineStr">
        <is>
          <t>TRN-020</t>
        </is>
      </c>
      <c r="B21" s="7" t="inlineStr">
        <is>
          <t>Difficult Caller Handling &amp; De-escalation</t>
        </is>
      </c>
      <c r="C21" s="7" t="inlineStr">
        <is>
          <t>Customer Service</t>
        </is>
      </c>
      <c r="D21" s="6" t="n">
        <v>3</v>
      </c>
      <c r="E21" s="58" t="n">
        <v>82.3</v>
      </c>
      <c r="F21" s="59" t="n">
        <v>1</v>
      </c>
      <c r="G21" s="58" t="n">
        <v>3.2</v>
      </c>
      <c r="H21" s="58" t="n">
        <v>4</v>
      </c>
      <c r="I21" s="6" t="n">
        <v>70</v>
      </c>
      <c r="J21" s="6" t="n">
        <v>3.4</v>
      </c>
      <c r="K21" s="60" t="inlineStr">
        <is>
          <t>Effective</t>
        </is>
      </c>
      <c r="L21" s="58" t="n">
        <v>4.2</v>
      </c>
      <c r="M21" s="7" t="inlineStr">
        <is>
          <t>Expand scenario library</t>
        </is>
      </c>
      <c r="N21" s="49" t="n">
        <v>46127</v>
      </c>
      <c r="O21" s="49" t="n">
        <v>46157</v>
      </c>
    </row>
    <row r="22">
      <c r="A22" s="2" t="inlineStr">
        <is>
          <t>TRN-021</t>
        </is>
      </c>
      <c r="B22" s="3" t="inlineStr">
        <is>
          <t>Communication Standards &amp; Etiquette</t>
        </is>
      </c>
      <c r="C22" s="3" t="inlineStr">
        <is>
          <t>Customer Service</t>
        </is>
      </c>
      <c r="D22" s="2" t="n">
        <v>5</v>
      </c>
      <c r="E22" s="55" t="n">
        <v>81.59999999999999</v>
      </c>
      <c r="F22" s="56" t="n">
        <v>1</v>
      </c>
      <c r="G22" s="55" t="n">
        <v>2.1</v>
      </c>
      <c r="H22" s="55" t="n">
        <v>3.4</v>
      </c>
      <c r="I22" s="2" t="n">
        <v>68</v>
      </c>
      <c r="J22" s="2" t="n">
        <v>3.3</v>
      </c>
      <c r="K22" s="52" t="inlineStr">
        <is>
          <t>Needs Improvement</t>
        </is>
      </c>
      <c r="L22" s="55" t="n">
        <v>3.6</v>
      </c>
      <c r="M22" s="3" t="inlineStr">
        <is>
          <t>Add email/chat writing exercises</t>
        </is>
      </c>
      <c r="N22" s="46" t="n">
        <v>46122</v>
      </c>
      <c r="O22" s="46" t="n">
        <v>46183</v>
      </c>
    </row>
    <row r="23">
      <c r="A23" s="6" t="inlineStr">
        <is>
          <t>TRN-022</t>
        </is>
      </c>
      <c r="B23" s="7" t="inlineStr">
        <is>
          <t>Cultural Sensitivity &amp; Diversity</t>
        </is>
      </c>
      <c r="C23" s="7" t="inlineStr">
        <is>
          <t>Customer Service</t>
        </is>
      </c>
      <c r="D23" s="6" t="n">
        <v>13</v>
      </c>
      <c r="E23" s="58" t="n">
        <v>82</v>
      </c>
      <c r="F23" s="59" t="n">
        <v>0.92</v>
      </c>
      <c r="G23" s="58" t="n">
        <v>1.4</v>
      </c>
      <c r="H23" s="58" t="n">
        <v>3.9</v>
      </c>
      <c r="I23" s="6" t="n">
        <v>80</v>
      </c>
      <c r="J23" s="6" t="n">
        <v>3.8</v>
      </c>
      <c r="K23" s="60" t="inlineStr">
        <is>
          <t>Effective</t>
        </is>
      </c>
      <c r="L23" s="58" t="n">
        <v>4</v>
      </c>
      <c r="M23" s="7" t="inlineStr">
        <is>
          <t>Update with recent DEI best practices</t>
        </is>
      </c>
      <c r="N23" s="49" t="n">
        <v>46096</v>
      </c>
      <c r="O23" s="49" t="n">
        <v>46188</v>
      </c>
    </row>
    <row r="24">
      <c r="A24" s="2" t="inlineStr">
        <is>
          <t>TRN-023</t>
        </is>
      </c>
      <c r="B24" s="3" t="inlineStr">
        <is>
          <t>Quality Standards &amp; Expectations</t>
        </is>
      </c>
      <c r="C24" s="3" t="inlineStr">
        <is>
          <t>Quality Assurance</t>
        </is>
      </c>
      <c r="D24" s="2" t="n">
        <v>9</v>
      </c>
      <c r="E24" s="55" t="n">
        <v>87</v>
      </c>
      <c r="F24" s="56" t="n">
        <v>0.89</v>
      </c>
      <c r="G24" s="55" t="n">
        <v>3.1</v>
      </c>
      <c r="H24" s="55" t="n">
        <v>3.7</v>
      </c>
      <c r="I24" s="2" t="n">
        <v>76</v>
      </c>
      <c r="J24" s="2" t="n">
        <v>3.6</v>
      </c>
      <c r="K24" s="60" t="inlineStr">
        <is>
          <t>Effective</t>
        </is>
      </c>
      <c r="L24" s="55" t="n">
        <v>4</v>
      </c>
      <c r="M24" s="3" t="inlineStr">
        <is>
          <t>Include sample scored evaluations</t>
        </is>
      </c>
      <c r="N24" s="46" t="n">
        <v>46122</v>
      </c>
      <c r="O24" s="46" t="n">
        <v>46183</v>
      </c>
    </row>
    <row r="25">
      <c r="A25" s="6" t="inlineStr">
        <is>
          <t>TRN-024</t>
        </is>
      </c>
      <c r="B25" s="7" t="inlineStr">
        <is>
          <t>QA Monitoring &amp; Calibration</t>
        </is>
      </c>
      <c r="C25" s="7" t="inlineStr">
        <is>
          <t>Quality Assurance</t>
        </is>
      </c>
      <c r="D25" s="6" t="n">
        <v>2</v>
      </c>
      <c r="E25" s="58" t="n">
        <v>90</v>
      </c>
      <c r="F25" s="59" t="n">
        <v>1</v>
      </c>
      <c r="G25" s="58" t="n">
        <v>4.1</v>
      </c>
      <c r="H25" s="58" t="n">
        <v>4.1</v>
      </c>
      <c r="I25" s="6" t="n">
        <v>82</v>
      </c>
      <c r="J25" s="6" t="n">
        <v>4</v>
      </c>
      <c r="K25" s="60" t="inlineStr">
        <is>
          <t>Effective</t>
        </is>
      </c>
      <c r="L25" s="58" t="n">
        <v>4.3</v>
      </c>
      <c r="M25" s="7" t="inlineStr">
        <is>
          <t>Schedule more frequent calibration</t>
        </is>
      </c>
      <c r="N25" s="49" t="n">
        <v>46127</v>
      </c>
      <c r="O25" s="49" t="n">
        <v>46157</v>
      </c>
    </row>
    <row r="26">
      <c r="A26" s="2" t="inlineStr">
        <is>
          <t>TRN-025</t>
        </is>
      </c>
      <c r="B26" s="3" t="inlineStr">
        <is>
          <t>Self-Assessment &amp; Continuous Improvement</t>
        </is>
      </c>
      <c r="C26" s="3" t="inlineStr">
        <is>
          <t>Quality Assurance</t>
        </is>
      </c>
      <c r="D26" s="2" t="n">
        <v>3</v>
      </c>
      <c r="E26" s="55" t="n">
        <v>0</v>
      </c>
      <c r="F26" s="56" t="n">
        <v>1</v>
      </c>
      <c r="G26" s="55" t="n">
        <v>1.4</v>
      </c>
      <c r="H26" s="55" t="n">
        <v>3.2</v>
      </c>
      <c r="I26" s="2" t="n">
        <v>64</v>
      </c>
      <c r="J26" s="2" t="n">
        <v>3</v>
      </c>
      <c r="K26" s="52" t="inlineStr">
        <is>
          <t>Needs Improvement</t>
        </is>
      </c>
      <c r="L26" s="55" t="n">
        <v>3.4</v>
      </c>
      <c r="M26" s="3" t="inlineStr">
        <is>
          <t>Redesign self-assessment rubric; add examples</t>
        </is>
      </c>
      <c r="N26" s="46" t="n">
        <v>46127</v>
      </c>
      <c r="O26" s="46" t="n">
        <v>46157</v>
      </c>
    </row>
    <row r="27">
      <c r="A27" s="6" t="inlineStr">
        <is>
          <t>TRN-026</t>
        </is>
      </c>
      <c r="B27" s="7" t="inlineStr">
        <is>
          <t>Root Cause Analysis</t>
        </is>
      </c>
      <c r="C27" s="7" t="inlineStr">
        <is>
          <t>Quality Assurance</t>
        </is>
      </c>
      <c r="D27" s="6" t="n">
        <v>2</v>
      </c>
      <c r="E27" s="58" t="n">
        <v>83</v>
      </c>
      <c r="F27" s="59" t="n">
        <v>1</v>
      </c>
      <c r="G27" s="58" t="n">
        <v>2.2</v>
      </c>
      <c r="H27" s="58" t="n">
        <v>3.8</v>
      </c>
      <c r="I27" s="6" t="n">
        <v>74</v>
      </c>
      <c r="J27" s="6" t="n">
        <v>3.5</v>
      </c>
      <c r="K27" s="60" t="inlineStr">
        <is>
          <t>Effective</t>
        </is>
      </c>
      <c r="L27" s="58" t="n">
        <v>3.9</v>
      </c>
      <c r="M27" s="7" t="inlineStr">
        <is>
          <t>Add more industry-specific case studies</t>
        </is>
      </c>
      <c r="N27" s="49" t="n">
        <v>46127</v>
      </c>
      <c r="O27" s="49" t="n">
        <v>46188</v>
      </c>
    </row>
    <row r="28">
      <c r="A28" s="2" t="inlineStr">
        <is>
          <t>TRN-027</t>
        </is>
      </c>
      <c r="B28" s="3" t="inlineStr">
        <is>
          <t>Remote Team Leadership</t>
        </is>
      </c>
      <c r="C28" s="3" t="inlineStr">
        <is>
          <t>Leadership &amp; Supervision</t>
        </is>
      </c>
      <c r="D28" s="2" t="n">
        <v>1</v>
      </c>
      <c r="E28" s="55" t="n">
        <v>82</v>
      </c>
      <c r="F28" s="56" t="n">
        <v>1</v>
      </c>
      <c r="G28" s="55" t="n">
        <v>4.2</v>
      </c>
      <c r="H28" s="55" t="n">
        <v>3.9</v>
      </c>
      <c r="I28" s="2" t="n">
        <v>72</v>
      </c>
      <c r="J28" s="2" t="n">
        <v>3.5</v>
      </c>
      <c r="K28" s="60" t="inlineStr">
        <is>
          <t>Effective</t>
        </is>
      </c>
      <c r="L28" s="55" t="n">
        <v>4.1</v>
      </c>
      <c r="M28" s="3" t="inlineStr">
        <is>
          <t>Add peer learning component</t>
        </is>
      </c>
      <c r="N28" s="46" t="n">
        <v>46127</v>
      </c>
      <c r="O28" s="46" t="n">
        <v>46188</v>
      </c>
    </row>
    <row r="29">
      <c r="A29" s="6" t="inlineStr">
        <is>
          <t>TRN-028</t>
        </is>
      </c>
      <c r="B29" s="7" t="inlineStr">
        <is>
          <t>Performance Management &amp; Coaching</t>
        </is>
      </c>
      <c r="C29" s="7" t="inlineStr">
        <is>
          <t>Leadership &amp; Supervision</t>
        </is>
      </c>
      <c r="D29" s="6" t="n">
        <v>2</v>
      </c>
      <c r="E29" s="58" t="n">
        <v>83.5</v>
      </c>
      <c r="F29" s="59" t="n">
        <v>1</v>
      </c>
      <c r="G29" s="58" t="n">
        <v>3.1</v>
      </c>
      <c r="H29" s="58" t="n">
        <v>3.7</v>
      </c>
      <c r="I29" s="6" t="n">
        <v>70</v>
      </c>
      <c r="J29" s="6" t="n">
        <v>3.4</v>
      </c>
      <c r="K29" s="52" t="inlineStr">
        <is>
          <t>Needs Improvement</t>
        </is>
      </c>
      <c r="L29" s="58" t="n">
        <v>3.8</v>
      </c>
      <c r="M29" s="7" t="inlineStr">
        <is>
          <t>Include more coaching simulations</t>
        </is>
      </c>
      <c r="N29" s="49" t="n">
        <v>46127</v>
      </c>
      <c r="O29" s="49" t="n">
        <v>46157</v>
      </c>
    </row>
    <row r="30">
      <c r="A30" s="2" t="inlineStr">
        <is>
          <t>TRN-029</t>
        </is>
      </c>
      <c r="B30" s="3" t="inlineStr">
        <is>
          <t>Conflict Resolution &amp; Employee Relations</t>
        </is>
      </c>
      <c r="C30" s="3" t="inlineStr">
        <is>
          <t>Leadership &amp; Supervision</t>
        </is>
      </c>
      <c r="D30" s="2" t="n">
        <v>1</v>
      </c>
      <c r="E30" s="55" t="n">
        <v>80</v>
      </c>
      <c r="F30" s="56" t="n">
        <v>1</v>
      </c>
      <c r="G30" s="55" t="n">
        <v>2.1</v>
      </c>
      <c r="H30" s="55" t="n">
        <v>3.6</v>
      </c>
      <c r="I30" s="2" t="n">
        <v>68</v>
      </c>
      <c r="J30" s="2" t="n">
        <v>3.3</v>
      </c>
      <c r="K30" s="52" t="inlineStr">
        <is>
          <t>Needs Improvement</t>
        </is>
      </c>
      <c r="L30" s="55" t="n">
        <v>3.7</v>
      </c>
      <c r="M30" s="3" t="inlineStr">
        <is>
          <t>Expand to cover remote-specific conflicts</t>
        </is>
      </c>
      <c r="N30" s="46" t="n">
        <v>46127</v>
      </c>
      <c r="O30" s="46" t="n">
        <v>46157</v>
      </c>
    </row>
    <row r="31">
      <c r="A31" s="6" t="inlineStr">
        <is>
          <t>TRN-030</t>
        </is>
      </c>
      <c r="B31" s="7" t="inlineStr">
        <is>
          <t>Workforce Planning &amp; Surge Management</t>
        </is>
      </c>
      <c r="C31" s="7" t="inlineStr">
        <is>
          <t>Leadership &amp; Supervision</t>
        </is>
      </c>
      <c r="D31" s="6" t="n">
        <v>1</v>
      </c>
      <c r="E31" s="58" t="n">
        <v>88</v>
      </c>
      <c r="F31" s="59" t="n">
        <v>1</v>
      </c>
      <c r="G31" s="58" t="n">
        <v>3.2</v>
      </c>
      <c r="H31" s="58" t="n">
        <v>4</v>
      </c>
      <c r="I31" s="6" t="n">
        <v>76</v>
      </c>
      <c r="J31" s="6" t="n">
        <v>3.7</v>
      </c>
      <c r="K31" s="60" t="inlineStr">
        <is>
          <t>Effective</t>
        </is>
      </c>
      <c r="L31" s="58" t="n">
        <v>4.2</v>
      </c>
      <c r="M31" s="7" t="inlineStr">
        <is>
          <t>Include lessons from current surge</t>
        </is>
      </c>
      <c r="N31" s="49" t="n">
        <v>46127</v>
      </c>
      <c r="O31" s="49" t="n">
        <v>46188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2" customWidth="1" min="4" max="4"/>
    <col width="50" customWidth="1" min="5" max="5"/>
    <col width="12" customWidth="1" min="6" max="6"/>
    <col width="16" customWidth="1" min="7" max="7"/>
    <col width="16" customWidth="1" min="8" max="8"/>
    <col width="14" customWidth="1" min="9" max="9"/>
    <col width="35" customWidth="1" min="10" max="10"/>
  </cols>
  <sheetData>
    <row r="1">
      <c r="A1" s="1" t="inlineStr">
        <is>
          <t>Alert ID</t>
        </is>
      </c>
      <c r="B1" s="1" t="inlineStr">
        <is>
          <t>Date Generated</t>
        </is>
      </c>
      <c r="C1" s="1" t="inlineStr">
        <is>
          <t>Alert Type</t>
        </is>
      </c>
      <c r="D1" s="1" t="inlineStr">
        <is>
          <t>Employee/Module</t>
        </is>
      </c>
      <c r="E1" s="1" t="inlineStr">
        <is>
          <t>Description</t>
        </is>
      </c>
      <c r="F1" s="1" t="inlineStr">
        <is>
          <t>Severity</t>
        </is>
      </c>
      <c r="G1" s="1" t="inlineStr">
        <is>
          <t>Assigned To</t>
        </is>
      </c>
      <c r="H1" s="1" t="inlineStr">
        <is>
          <t>Status</t>
        </is>
      </c>
      <c r="I1" s="1" t="inlineStr">
        <is>
          <t>Resolution Date</t>
        </is>
      </c>
      <c r="J1" s="1" t="inlineStr">
        <is>
          <t>Notes</t>
        </is>
      </c>
    </row>
    <row r="2" ht="40" customHeight="1">
      <c r="A2" s="2" t="inlineStr">
        <is>
          <t>ALT-001</t>
        </is>
      </c>
      <c r="B2" s="46" t="n">
        <v>46127</v>
      </c>
      <c r="C2" s="3" t="inlineStr">
        <is>
          <t>Training Overdue</t>
        </is>
      </c>
      <c r="D2" s="3" t="inlineStr">
        <is>
          <t>EMP-009 / TRN-005</t>
        </is>
      </c>
      <c r="E2" s="4" t="inlineStr">
        <is>
          <t>James O'Brien failed Incident Reporting Procedures assessment (score: 70%). Retake required within 14 days.</t>
        </is>
      </c>
      <c r="F2" s="52" t="inlineStr">
        <is>
          <t>Critical</t>
        </is>
      </c>
      <c r="G2" s="3" t="inlineStr">
        <is>
          <t>S. Chen</t>
        </is>
      </c>
      <c r="H2" s="61" t="inlineStr">
        <is>
          <t>Open</t>
        </is>
      </c>
      <c r="I2" s="46" t="inlineStr"/>
      <c r="J2" s="4" t="inlineStr">
        <is>
          <t>Scheduled for retake Apr 22</t>
        </is>
      </c>
    </row>
    <row r="3" ht="40" customHeight="1">
      <c r="A3" s="6" t="inlineStr">
        <is>
          <t>ALT-002</t>
        </is>
      </c>
      <c r="B3" s="49" t="n">
        <v>46127</v>
      </c>
      <c r="C3" s="7" t="inlineStr">
        <is>
          <t>Certification Expiring</t>
        </is>
      </c>
      <c r="D3" s="7" t="inlineStr">
        <is>
          <t>EMP-016 / CERT-033</t>
        </is>
      </c>
      <c r="E3" s="8" t="inlineStr">
        <is>
          <t>Rachel Lee's Six Sigma Green Belt expired on 2026-04-15. Renewal action required.</t>
        </is>
      </c>
      <c r="F3" s="52" t="inlineStr">
        <is>
          <t>Critical</t>
        </is>
      </c>
      <c r="G3" s="7" t="inlineStr">
        <is>
          <t>K. Nguyen</t>
        </is>
      </c>
      <c r="H3" s="60" t="inlineStr">
        <is>
          <t>Acknowledged</t>
        </is>
      </c>
      <c r="I3" s="49" t="inlineStr"/>
      <c r="J3" s="8" t="inlineStr">
        <is>
          <t>Renewal application pending</t>
        </is>
      </c>
    </row>
    <row r="4" ht="40" customHeight="1">
      <c r="A4" s="2" t="inlineStr">
        <is>
          <t>ALT-003</t>
        </is>
      </c>
      <c r="B4" s="46" t="n">
        <v>46122</v>
      </c>
      <c r="C4" s="3" t="inlineStr">
        <is>
          <t>Certification Expiring</t>
        </is>
      </c>
      <c r="D4" s="3" t="inlineStr">
        <is>
          <t>EMP-006 / CERT-014</t>
        </is>
      </c>
      <c r="E4" s="4" t="inlineStr">
        <is>
          <t>Amanda Brooks' Certified Quality Auditor expires 2026-05-10 (20 days). Renewal application submitted.</t>
        </is>
      </c>
      <c r="F4" s="51" t="inlineStr">
        <is>
          <t>High</t>
        </is>
      </c>
      <c r="G4" s="3" t="inlineStr">
        <is>
          <t>K. Nguyen</t>
        </is>
      </c>
      <c r="H4" s="60" t="inlineStr">
        <is>
          <t>Acknowledged</t>
        </is>
      </c>
      <c r="I4" s="46" t="inlineStr"/>
      <c r="J4" s="4" t="inlineStr">
        <is>
          <t>Application under review by ASQ</t>
        </is>
      </c>
    </row>
    <row r="5" ht="40" customHeight="1">
      <c r="A5" s="6" t="inlineStr">
        <is>
          <t>ALT-004</t>
        </is>
      </c>
      <c r="B5" s="49" t="n">
        <v>46124</v>
      </c>
      <c r="C5" s="7" t="inlineStr">
        <is>
          <t>Certification Expiring</t>
        </is>
      </c>
      <c r="D5" s="7" t="inlineStr">
        <is>
          <t>EMP-007 / CERT-039</t>
        </is>
      </c>
      <c r="E5" s="8" t="inlineStr">
        <is>
          <t>Michael Torres' CPR/First Aid expires 2026-05-01 (11 days). Renewal class scheduled.</t>
        </is>
      </c>
      <c r="F5" s="51" t="inlineStr">
        <is>
          <t>High</t>
        </is>
      </c>
      <c r="G5" s="7" t="inlineStr">
        <is>
          <t>P. Anderson</t>
        </is>
      </c>
      <c r="H5" s="60" t="inlineStr">
        <is>
          <t>Acknowledged</t>
        </is>
      </c>
      <c r="I5" s="49" t="inlineStr"/>
      <c r="J5" s="8" t="inlineStr">
        <is>
          <t>Class on Apr 28</t>
        </is>
      </c>
    </row>
    <row r="6" ht="40" customHeight="1">
      <c r="A6" s="2" t="inlineStr">
        <is>
          <t>ALT-005</t>
        </is>
      </c>
      <c r="B6" s="46" t="n">
        <v>46124</v>
      </c>
      <c r="C6" s="3" t="inlineStr">
        <is>
          <t>Certification Expiring</t>
        </is>
      </c>
      <c r="D6" s="3" t="inlineStr">
        <is>
          <t>EMP-004 / CERT-040</t>
        </is>
      </c>
      <c r="E6" s="4" t="inlineStr">
        <is>
          <t>Jennifer Collins' CPR/First Aid expires 2026-05-15 (25 days).</t>
        </is>
      </c>
      <c r="F6" s="60" t="inlineStr">
        <is>
          <t>Medium</t>
        </is>
      </c>
      <c r="G6" s="3" t="inlineStr">
        <is>
          <t>P. Anderson</t>
        </is>
      </c>
      <c r="H6" s="61" t="inlineStr">
        <is>
          <t>Open</t>
        </is>
      </c>
      <c r="I6" s="46" t="inlineStr"/>
      <c r="J6" s="4" t="inlineStr">
        <is>
          <t>Needs to register for renewal class</t>
        </is>
      </c>
    </row>
    <row r="7" ht="40" customHeight="1">
      <c r="A7" s="6" t="inlineStr">
        <is>
          <t>ALT-006</t>
        </is>
      </c>
      <c r="B7" s="49" t="n">
        <v>46126</v>
      </c>
      <c r="C7" s="7" t="inlineStr">
        <is>
          <t>Certification Expiring</t>
        </is>
      </c>
      <c r="D7" s="7" t="inlineStr">
        <is>
          <t>EMP-018 / CERT-036</t>
        </is>
      </c>
      <c r="E7" s="8" t="inlineStr">
        <is>
          <t>Natalie Rivera's ITIL Foundation expires 2026-05-20 (30 days). Exam scheduled.</t>
        </is>
      </c>
      <c r="F7" s="60" t="inlineStr">
        <is>
          <t>Medium</t>
        </is>
      </c>
      <c r="G7" s="7" t="inlineStr">
        <is>
          <t>M. Patel</t>
        </is>
      </c>
      <c r="H7" s="60" t="inlineStr">
        <is>
          <t>Acknowledged</t>
        </is>
      </c>
      <c r="I7" s="49" t="inlineStr"/>
      <c r="J7" s="8" t="inlineStr">
        <is>
          <t>Exam on May 18</t>
        </is>
      </c>
    </row>
    <row r="8" ht="40" customHeight="1">
      <c r="A8" s="2" t="inlineStr">
        <is>
          <t>ALT-007</t>
        </is>
      </c>
      <c r="B8" s="46" t="n">
        <v>46130</v>
      </c>
      <c r="C8" s="3" t="inlineStr">
        <is>
          <t>Assessment Failed</t>
        </is>
      </c>
      <c r="D8" s="3" t="inlineStr">
        <is>
          <t>EMP-019 / TRN-002</t>
        </is>
      </c>
      <c r="E8" s="4" t="inlineStr">
        <is>
          <t>Daniel Clarke failed NIST 800-171 Security Awareness (score: 72%). Minimum passing: 85%.</t>
        </is>
      </c>
      <c r="F8" s="51" t="inlineStr">
        <is>
          <t>High</t>
        </is>
      </c>
      <c r="G8" s="3" t="inlineStr">
        <is>
          <t>J. Morrison</t>
        </is>
      </c>
      <c r="H8" s="61" t="inlineStr">
        <is>
          <t>Open</t>
        </is>
      </c>
      <c r="I8" s="46" t="inlineStr"/>
      <c r="J8" s="4" t="inlineStr">
        <is>
          <t>Schedule retake within 10 days</t>
        </is>
      </c>
    </row>
    <row r="9" ht="40" customHeight="1">
      <c r="A9" s="6" t="inlineStr">
        <is>
          <t>ALT-008</t>
        </is>
      </c>
      <c r="B9" s="49" t="n">
        <v>46128</v>
      </c>
      <c r="C9" s="7" t="inlineStr">
        <is>
          <t>Module Behind Schedule</t>
        </is>
      </c>
      <c r="D9" s="7" t="inlineStr">
        <is>
          <t>TRN-008</t>
        </is>
      </c>
      <c r="E9" s="8" t="inlineStr">
        <is>
          <t>Case Management System Training behind schedule — only 8 of 12 agents completed. Target: all agents by Apr 20.</t>
        </is>
      </c>
      <c r="F9" s="51" t="inlineStr">
        <is>
          <t>High</t>
        </is>
      </c>
      <c r="G9" s="7" t="inlineStr">
        <is>
          <t>M. Patel</t>
        </is>
      </c>
      <c r="H9" s="61" t="inlineStr">
        <is>
          <t>Open</t>
        </is>
      </c>
      <c r="I9" s="49" t="inlineStr"/>
      <c r="J9" s="8" t="inlineStr">
        <is>
          <t>4 agents need to complete</t>
        </is>
      </c>
    </row>
    <row r="10" ht="40" customHeight="1">
      <c r="A10" s="2" t="inlineStr">
        <is>
          <t>ALT-009</t>
        </is>
      </c>
      <c r="B10" s="46" t="n">
        <v>46129</v>
      </c>
      <c r="C10" s="3" t="inlineStr">
        <is>
          <t>Training Overdue</t>
        </is>
      </c>
      <c r="D10" s="3" t="inlineStr">
        <is>
          <t>EMP-017 / Multiple</t>
        </is>
      </c>
      <c r="E10" s="4" t="inlineStr">
        <is>
          <t>Christopher Brown has completed only 8 of 22 required modules. Hired Apr 6 — significantly behind peers.</t>
        </is>
      </c>
      <c r="F10" s="51" t="inlineStr">
        <is>
          <t>High</t>
        </is>
      </c>
      <c r="G10" s="3" t="inlineStr">
        <is>
          <t>L. Thompson</t>
        </is>
      </c>
      <c r="H10" s="61" t="inlineStr">
        <is>
          <t>Open</t>
        </is>
      </c>
      <c r="I10" s="46" t="inlineStr"/>
      <c r="J10" s="4" t="inlineStr">
        <is>
          <t>Schedule catch-up training plan</t>
        </is>
      </c>
    </row>
    <row r="11" ht="40" customHeight="1">
      <c r="A11" s="6" t="inlineStr">
        <is>
          <t>ALT-010</t>
        </is>
      </c>
      <c r="B11" s="49" t="n">
        <v>46130</v>
      </c>
      <c r="C11" s="7" t="inlineStr">
        <is>
          <t>Material Update Required</t>
        </is>
      </c>
      <c r="D11" s="7" t="inlineStr">
        <is>
          <t>TRN-017</t>
        </is>
      </c>
      <c r="E11" s="8" t="inlineStr">
        <is>
          <t>Records Management &amp; Retention module content outdated. Knowledge retention score: 68%. Needs modernization.</t>
        </is>
      </c>
      <c r="F11" s="60" t="inlineStr">
        <is>
          <t>Medium</t>
        </is>
      </c>
      <c r="G11" s="7" t="inlineStr">
        <is>
          <t>A. Garcia</t>
        </is>
      </c>
      <c r="H11" s="61" t="inlineStr">
        <is>
          <t>Open</t>
        </is>
      </c>
      <c r="I11" s="49" t="inlineStr"/>
      <c r="J11" s="8" t="inlineStr">
        <is>
          <t>Content review meeting scheduled Apr 23</t>
        </is>
      </c>
    </row>
    <row r="12" ht="40" customHeight="1">
      <c r="A12" s="2" t="inlineStr">
        <is>
          <t>ALT-011</t>
        </is>
      </c>
      <c r="B12" s="46" t="n">
        <v>46131</v>
      </c>
      <c r="C12" s="3" t="inlineStr">
        <is>
          <t>Module Behind Schedule</t>
        </is>
      </c>
      <c r="D12" s="3" t="inlineStr">
        <is>
          <t>TRN-021</t>
        </is>
      </c>
      <c r="E12" s="4" t="inlineStr">
        <is>
          <t>Communication Standards &amp; Etiquette — only 5 of 12 agents completed. Phase 3 target deadline approaching.</t>
        </is>
      </c>
      <c r="F12" s="60" t="inlineStr">
        <is>
          <t>Medium</t>
        </is>
      </c>
      <c r="G12" s="3" t="inlineStr">
        <is>
          <t>D. Robinson</t>
        </is>
      </c>
      <c r="H12" s="61" t="inlineStr">
        <is>
          <t>Open</t>
        </is>
      </c>
      <c r="I12" s="46" t="inlineStr"/>
      <c r="J12" s="4" t="inlineStr">
        <is>
          <t>Prioritize in Week 4 schedule</t>
        </is>
      </c>
    </row>
    <row r="13" ht="40" customHeight="1">
      <c r="A13" s="6" t="inlineStr">
        <is>
          <t>ALT-012</t>
        </is>
      </c>
      <c r="B13" s="49" t="n">
        <v>46132</v>
      </c>
      <c r="C13" s="7" t="inlineStr">
        <is>
          <t>Assessment Failed</t>
        </is>
      </c>
      <c r="D13" s="7" t="inlineStr">
        <is>
          <t>EMP-008 / TRN-008</t>
        </is>
      </c>
      <c r="E13" s="8" t="inlineStr">
        <is>
          <t>Lisa Patel scored 78% on Case Management System practical demo. Minimum passing: 80%. Retake needed.</t>
        </is>
      </c>
      <c r="F13" s="51" t="inlineStr">
        <is>
          <t>High</t>
        </is>
      </c>
      <c r="G13" s="7" t="inlineStr">
        <is>
          <t>M. Patel</t>
        </is>
      </c>
      <c r="H13" s="61" t="inlineStr">
        <is>
          <t>Open</t>
        </is>
      </c>
      <c r="I13" s="49" t="inlineStr"/>
      <c r="J13" s="8" t="inlineStr">
        <is>
          <t>Near-miss — schedule targeted review session</t>
        </is>
      </c>
    </row>
  </sheetData>
  <dataValidations count="3">
    <dataValidation sqref="C2:C13" showDropDown="0" showInputMessage="0" showErrorMessage="0" allowBlank="1" type="list">
      <formula1>"Training Overdue,Certification Expiring,Assessment Failed,Module Behind Schedule,Instructor Unavailable,Material Update Required"</formula1>
    </dataValidation>
    <dataValidation sqref="F2:F13" showDropDown="0" showInputMessage="0" showErrorMessage="0" allowBlank="1" type="list">
      <formula1>"Critical,High,Medium,Low"</formula1>
    </dataValidation>
    <dataValidation sqref="H2:H13" showDropDown="0" showInputMessage="0" showErrorMessage="0" allowBlank="1" type="list">
      <formula1>"Open,Acknowledged,Resolved"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2026-04-21T01:20:11Z</dcterms:created>
  <dcterms:modified xmlns:dcterms="http://purl.org/dc/terms/" xmlns:xsi="http://www.w3.org/2001/XMLSchema-instance" xsi:type="dcterms:W3CDTF">2026-04-21T01:26:32Z</dcterms:modified>
</cp:coreProperties>
</file>
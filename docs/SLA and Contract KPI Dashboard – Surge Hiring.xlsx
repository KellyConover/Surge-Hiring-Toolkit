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Contract Requirements" sheetId="2" state="visible" r:id="rId2"/>
    <sheet xmlns:r="http://schemas.openxmlformats.org/officeDocument/2006/relationships" name="Daily Tracking" sheetId="3" state="visible" r:id="rId3"/>
    <sheet xmlns:r="http://schemas.openxmlformats.org/officeDocument/2006/relationships" name="Weekly Summary" sheetId="4" state="visible" r:id="rId4"/>
    <sheet xmlns:r="http://schemas.openxmlformats.org/officeDocument/2006/relationships" name="Monthly Report Card" sheetId="5" state="visible" r:id="rId5"/>
    <sheet xmlns:r="http://schemas.openxmlformats.org/officeDocument/2006/relationships" name="Surge Ramp Impact" sheetId="6" state="visible" r:id="rId6"/>
    <sheet xmlns:r="http://schemas.openxmlformats.org/officeDocument/2006/relationships" name="Penalty &amp; Incentive Calc" sheetId="7" state="visible" r:id="rId7"/>
    <sheet xmlns:r="http://schemas.openxmlformats.org/officeDocument/2006/relationships" name="Ale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$#,##0"/>
    <numFmt numFmtId="167" formatCode="0.0"/>
  </numFmts>
  <fonts count="2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6100"/>
    </font>
    <font>
      <color rgb="009C5700"/>
    </font>
    <font>
      <color rgb="009C0006"/>
    </font>
    <font>
      <b val="1"/>
      <color rgb="00FFFFFF"/>
      <sz val="13"/>
    </font>
    <font>
      <b val="1"/>
      <i val="1"/>
      <color rgb="001F4E79"/>
    </font>
    <font>
      <b val="1"/>
      <color rgb="009C0006"/>
    </font>
    <font>
      <b val="1"/>
      <color rgb="00006100"/>
    </font>
    <font>
      <b val="1"/>
      <color rgb="009C5700"/>
    </font>
    <font>
      <b val="1"/>
      <color rgb="00FFFFFF"/>
      <sz val="18"/>
    </font>
    <font>
      <b val="1"/>
      <i val="1"/>
      <color rgb="00FFFFFF"/>
      <sz val="12"/>
    </font>
    <font>
      <i val="1"/>
      <sz val="10"/>
    </font>
    <font>
      <b val="1"/>
      <color rgb="00FFFFFF"/>
      <sz val="12"/>
    </font>
    <font>
      <b val="1"/>
      <color rgb="00FFFFFF"/>
      <sz val="10"/>
    </font>
    <font>
      <b val="1"/>
      <color rgb="009C5700"/>
      <sz val="18"/>
    </font>
    <font>
      <b val="1"/>
      <color rgb="00006100"/>
      <sz val="18"/>
    </font>
    <font>
      <b val="1"/>
      <color rgb="009C5700"/>
      <sz val="8"/>
    </font>
    <font>
      <b val="1"/>
      <color rgb="00006100"/>
      <sz val="8"/>
    </font>
    <font>
      <b val="1"/>
      <color rgb="00FFFFFF"/>
      <sz val="16"/>
    </font>
    <font>
      <i val="1"/>
      <color rgb="00FFFFFF"/>
      <sz val="11"/>
    </font>
    <font>
      <b val="1"/>
      <color rgb="00FFFFFF"/>
      <sz val="11"/>
    </font>
    <font>
      <i val="1"/>
      <color rgb="001F4E79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DF2F9"/>
        <bgColor rgb="00EDF2F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/>
      <top style="medium">
        <color rgb="00000000"/>
      </top>
      <bottom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medium">
        <color rgb="00000000"/>
      </bottom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/>
      <bottom style="medium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2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wrapText="1"/>
    </xf>
    <xf numFmtId="164" fontId="0" fillId="6" borderId="1" pivotButton="0" quotePrefix="0" xfId="0"/>
    <xf numFmtId="3" fontId="0" fillId="6" borderId="1" pivotButton="0" quotePrefix="0" xfId="0"/>
    <xf numFmtId="165" fontId="0" fillId="6" borderId="1" pivotButton="0" quotePrefix="0" xfId="0"/>
    <xf numFmtId="0" fontId="0" fillId="6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0" fontId="1" fillId="5" borderId="3" pivotButton="0" quotePrefix="0" xfId="0"/>
    <xf numFmtId="165" fontId="1" fillId="5" borderId="3" pivotButton="0" quotePrefix="0" xfId="0"/>
    <xf numFmtId="3" fontId="1" fillId="5" borderId="3" pivotButton="0" quotePrefix="0" xfId="0"/>
    <xf numFmtId="0" fontId="1" fillId="2" borderId="0" pivotButton="0" quotePrefix="0" xfId="0"/>
    <xf numFmtId="0" fontId="2" fillId="3" borderId="0" pivotButton="0" quotePrefix="0" xfId="0"/>
    <xf numFmtId="9" fontId="0" fillId="0" borderId="0" pivotButton="0" quotePrefix="0" xfId="0"/>
    <xf numFmtId="164" fontId="0" fillId="6" borderId="1" pivotButton="0" quotePrefix="0" xfId="0"/>
    <xf numFmtId="165" fontId="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1" fillId="5" borderId="3" pivotButton="0" quotePrefix="0" xfId="0"/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3" fillId="7" borderId="1" pivotButton="0" quotePrefix="0" xfId="0"/>
    <xf numFmtId="0" fontId="0" fillId="0" borderId="1" applyAlignment="1" pivotButton="0" quotePrefix="0" xfId="0">
      <alignment wrapText="1"/>
    </xf>
    <xf numFmtId="0" fontId="4" fillId="8" borderId="1" pivotButton="0" quotePrefix="0" xfId="0"/>
    <xf numFmtId="0" fontId="5" fillId="9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6" fillId="2" borderId="1" pivotButton="0" quotePrefix="0" xfId="0"/>
    <xf numFmtId="0" fontId="2" fillId="3" borderId="1" pivotButton="0" quotePrefix="0" xfId="0"/>
    <xf numFmtId="165" fontId="0" fillId="0" borderId="1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5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1" fillId="2" borderId="8" applyAlignment="1" pivotButton="0" quotePrefix="0" xfId="0">
      <alignment horizontal="center" wrapText="1"/>
    </xf>
    <xf numFmtId="0" fontId="7" fillId="10" borderId="0" pivotButton="0" quotePrefix="0" xfId="0"/>
    <xf numFmtId="0" fontId="1" fillId="5" borderId="1" applyAlignment="1" pivotButton="0" quotePrefix="0" xfId="0">
      <alignment horizontal="center" wrapText="1"/>
    </xf>
    <xf numFmtId="166" fontId="0" fillId="6" borderId="1" pivotButton="0" quotePrefix="0" xfId="0"/>
    <xf numFmtId="166" fontId="5" fillId="6" borderId="1" pivotButton="0" quotePrefix="0" xfId="0"/>
    <xf numFmtId="166" fontId="0" fillId="0" borderId="1" pivotButton="0" quotePrefix="0" xfId="0"/>
    <xf numFmtId="166" fontId="5" fillId="0" borderId="1" pivotButton="0" quotePrefix="0" xfId="0"/>
    <xf numFmtId="166" fontId="3" fillId="0" borderId="1" pivotButton="0" quotePrefix="0" xfId="0"/>
    <xf numFmtId="166" fontId="3" fillId="6" borderId="1" pivotButton="0" quotePrefix="0" xfId="0"/>
    <xf numFmtId="0" fontId="6" fillId="2" borderId="2" pivotButton="0" quotePrefix="0" xfId="0"/>
    <xf numFmtId="0" fontId="0" fillId="0" borderId="2" pivotButton="0" quotePrefix="0" xfId="0"/>
    <xf numFmtId="0" fontId="8" fillId="9" borderId="1" pivotButton="0" quotePrefix="0" xfId="0"/>
    <xf numFmtId="166" fontId="8" fillId="0" borderId="1" pivotButton="0" quotePrefix="0" xfId="0"/>
    <xf numFmtId="0" fontId="9" fillId="7" borderId="1" pivotButton="0" quotePrefix="0" xfId="0"/>
    <xf numFmtId="166" fontId="9" fillId="0" borderId="1" pivotButton="0" quotePrefix="0" xfId="0"/>
    <xf numFmtId="166" fontId="2" fillId="0" borderId="1" pivotButton="0" quotePrefix="0" xfId="0"/>
    <xf numFmtId="0" fontId="0" fillId="0" borderId="9" pivotButton="0" quotePrefix="0" xfId="0"/>
    <xf numFmtId="0" fontId="0" fillId="0" borderId="10" pivotButton="0" quotePrefix="0" xfId="0"/>
    <xf numFmtId="0" fontId="8" fillId="9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  <xf numFmtId="0" fontId="12" fillId="11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2" borderId="0" pivotButton="0" quotePrefix="0" xfId="0"/>
    <xf numFmtId="0" fontId="15" fillId="5" borderId="2" applyAlignment="1" pivotButton="0" quotePrefix="0" xfId="0">
      <alignment horizontal="center" vertical="center" wrapText="1"/>
    </xf>
    <xf numFmtId="165" fontId="16" fillId="8" borderId="1" applyAlignment="1" pivotButton="0" quotePrefix="0" xfId="0">
      <alignment horizontal="center" vertical="center"/>
    </xf>
    <xf numFmtId="165" fontId="17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/>
    </xf>
    <xf numFmtId="0" fontId="19" fillId="7" borderId="1" applyAlignment="1" pivotButton="0" quotePrefix="0" xfId="0">
      <alignment horizontal="center"/>
    </xf>
    <xf numFmtId="0" fontId="1" fillId="5" borderId="2" applyAlignment="1" pivotButton="0" quotePrefix="0" xfId="0">
      <alignment horizontal="center" wrapText="1"/>
    </xf>
    <xf numFmtId="167" fontId="0" fillId="6" borderId="1" pivotButton="0" quotePrefix="0" xfId="0"/>
    <xf numFmtId="167" fontId="0" fillId="0" borderId="1" pivotButton="0" quotePrefix="0" xfId="0"/>
    <xf numFmtId="0" fontId="20" fillId="2" borderId="8" applyAlignment="1" pivotButton="0" quotePrefix="0" xfId="0">
      <alignment horizontal="center"/>
    </xf>
    <xf numFmtId="0" fontId="0" fillId="0" borderId="11" pivotButton="0" quotePrefix="0" xfId="0"/>
    <xf numFmtId="0" fontId="21" fillId="11" borderId="0" applyAlignment="1" pivotButton="0" quotePrefix="0" xfId="0">
      <alignment horizontal="center"/>
    </xf>
    <xf numFmtId="0" fontId="1" fillId="2" borderId="2" pivotButton="0" quotePrefix="0" xfId="0"/>
    <xf numFmtId="9" fontId="0" fillId="0" borderId="1" pivotButton="0" quotePrefix="0" xfId="0"/>
    <xf numFmtId="0" fontId="22" fillId="2" borderId="1" pivotButton="0" quotePrefix="0" xfId="0"/>
    <xf numFmtId="0" fontId="23" fillId="10" borderId="1" applyAlignment="1" pivotButton="0" quotePrefix="0" xfId="0">
      <alignment wrapText="1"/>
    </xf>
    <xf numFmtId="9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  <col width="14" customWidth="1" min="13" max="13"/>
    <col width="16" customWidth="1" min="14" max="14"/>
  </cols>
  <sheetData>
    <row r="1" ht="45" customHeight="1">
      <c r="A1" s="66" t="inlineStr">
        <is>
          <t>SLA / CONTRACT KPI DASHBOARD</t>
        </is>
      </c>
    </row>
    <row r="2" ht="28" customHeight="1">
      <c r="A2" s="67" t="inlineStr">
        <is>
          <t>Government Contract Remote Surge Hiring Operation</t>
        </is>
      </c>
    </row>
    <row r="3">
      <c r="A3" s="68" t="inlineStr">
        <is>
          <t>Report Date: April 20, 2026  |  Prepared for: Kelly  |  Location: Plain Dealing, LA</t>
        </is>
      </c>
    </row>
    <row r="4">
      <c r="A4" s="69" t="inlineStr">
        <is>
          <t>SUMMARY SCORECARDS</t>
        </is>
      </c>
    </row>
    <row r="5" ht="35" customHeight="1">
      <c r="A5" s="70" t="inlineStr">
        <is>
          <t>Overall SLA
Attainment %</t>
        </is>
      </c>
      <c r="B5" s="62" t="n"/>
      <c r="C5" s="70" t="inlineStr">
        <is>
          <t>Staffing
Compliance %</t>
        </is>
      </c>
      <c r="D5" s="62" t="n"/>
      <c r="E5" s="70" t="inlineStr">
        <is>
          <t>Average
Handle Time</t>
        </is>
      </c>
      <c r="F5" s="62" t="n"/>
      <c r="G5" s="70" t="inlineStr">
        <is>
          <t>Service
Level %</t>
        </is>
      </c>
      <c r="H5" s="62" t="n"/>
      <c r="I5" s="70" t="inlineStr">
        <is>
          <t>Customer
Satisfaction</t>
        </is>
      </c>
      <c r="J5" s="62" t="n"/>
      <c r="K5" s="70" t="inlineStr">
        <is>
          <t>Quality
Score</t>
        </is>
      </c>
      <c r="L5" s="62" t="n"/>
    </row>
    <row r="6" ht="35" customHeight="1">
      <c r="A6" s="71" t="n">
        <v>0.872</v>
      </c>
      <c r="B6" s="41" t="n"/>
      <c r="C6" s="72" t="n">
        <v>0.962</v>
      </c>
      <c r="D6" s="41" t="n"/>
      <c r="E6" s="73" t="inlineStr">
        <is>
          <t>475 sec</t>
        </is>
      </c>
      <c r="F6" s="41" t="n"/>
      <c r="G6" s="72" t="n">
        <v>0.8080000000000001</v>
      </c>
      <c r="H6" s="41" t="n"/>
      <c r="I6" s="73" t="inlineStr">
        <is>
          <t>4.2 / 5.0</t>
        </is>
      </c>
      <c r="J6" s="41" t="n"/>
      <c r="K6" s="72" t="n">
        <v>0.908</v>
      </c>
      <c r="L6" s="41" t="n"/>
    </row>
    <row r="7">
      <c r="A7" s="74" t="inlineStr">
        <is>
          <t>▲ YELLOW - Within 5%</t>
        </is>
      </c>
      <c r="B7" s="41" t="n"/>
      <c r="C7" s="75" t="inlineStr">
        <is>
          <t>● GREEN - On Target</t>
        </is>
      </c>
      <c r="D7" s="41" t="n"/>
      <c r="E7" s="75" t="inlineStr">
        <is>
          <t>● GREEN - On Target</t>
        </is>
      </c>
      <c r="F7" s="41" t="n"/>
      <c r="G7" s="75" t="inlineStr">
        <is>
          <t>● GREEN - On Target</t>
        </is>
      </c>
      <c r="H7" s="41" t="n"/>
      <c r="I7" s="75" t="inlineStr">
        <is>
          <t>● GREEN - On Target</t>
        </is>
      </c>
      <c r="J7" s="41" t="n"/>
      <c r="K7" s="75" t="inlineStr">
        <is>
          <t>● GREEN - On Target</t>
        </is>
      </c>
      <c r="L7" s="41" t="n"/>
    </row>
    <row r="8"/>
    <row r="9"/>
    <row r="10">
      <c r="A10" s="69" t="inlineStr">
        <is>
          <t>MONTHLY TREND ANALYSIS</t>
        </is>
      </c>
    </row>
    <row r="11" ht="40" customHeight="1">
      <c r="A11" s="76" t="inlineStr">
        <is>
          <t>Month</t>
        </is>
      </c>
      <c r="B11" s="76" t="inlineStr">
        <is>
          <t>Staffing Target</t>
        </is>
      </c>
      <c r="C11" s="76" t="inlineStr">
        <is>
          <t>Staffing Actual</t>
        </is>
      </c>
      <c r="D11" s="76" t="inlineStr">
        <is>
          <t>Staffing Compliance %</t>
        </is>
      </c>
      <c r="E11" s="76" t="inlineStr">
        <is>
          <t>AHT Target</t>
        </is>
      </c>
      <c r="F11" s="76" t="inlineStr">
        <is>
          <t>AHT Actual</t>
        </is>
      </c>
      <c r="G11" s="76" t="inlineStr">
        <is>
          <t>AHT Variance</t>
        </is>
      </c>
      <c r="H11" s="76" t="inlineStr">
        <is>
          <t>Svc Level Target %</t>
        </is>
      </c>
      <c r="I11" s="76" t="inlineStr">
        <is>
          <t>Svc Level Actual %</t>
        </is>
      </c>
      <c r="J11" s="76" t="inlineStr">
        <is>
          <t>Quality Target %</t>
        </is>
      </c>
      <c r="K11" s="76" t="inlineStr">
        <is>
          <t>Quality Actual %</t>
        </is>
      </c>
      <c r="L11" s="76" t="inlineStr">
        <is>
          <t>CSAT Target</t>
        </is>
      </c>
      <c r="M11" s="76" t="inlineStr">
        <is>
          <t>CSAT Actual</t>
        </is>
      </c>
      <c r="N11" s="76" t="inlineStr">
        <is>
          <t>Overall Score</t>
        </is>
      </c>
    </row>
    <row r="12">
      <c r="A12" s="27" t="inlineStr">
        <is>
          <t>January</t>
        </is>
      </c>
      <c r="B12" s="9" t="n">
        <v>150</v>
      </c>
      <c r="C12" s="9" t="n">
        <v>128</v>
      </c>
      <c r="D12" s="23">
        <f>C12/B12</f>
        <v/>
      </c>
      <c r="E12" s="9" t="n">
        <v>480</v>
      </c>
      <c r="F12" s="9" t="n">
        <v>580</v>
      </c>
      <c r="G12" s="9">
        <f>F12-E12</f>
        <v/>
      </c>
      <c r="H12" s="23" t="n">
        <v>0.8</v>
      </c>
      <c r="I12" s="23" t="n">
        <v>0.6850000000000001</v>
      </c>
      <c r="J12" s="23" t="n">
        <v>0.9</v>
      </c>
      <c r="K12" s="23" t="n">
        <v>0.78</v>
      </c>
      <c r="L12" s="77" t="n">
        <v>4.2</v>
      </c>
      <c r="M12" s="77" t="n">
        <v>3.4</v>
      </c>
      <c r="N12" s="23">
        <f>(D12+IF(F12&lt;=E12,1,E12/F12)+I12/H12+K12/J12+M12/L12)/5</f>
        <v/>
      </c>
    </row>
    <row r="13">
      <c r="A13" s="29" t="inlineStr">
        <is>
          <t>February</t>
        </is>
      </c>
      <c r="B13" s="13" t="n">
        <v>150</v>
      </c>
      <c r="C13" s="13" t="n">
        <v>132</v>
      </c>
      <c r="D13" s="25">
        <f>C13/B13</f>
        <v/>
      </c>
      <c r="E13" s="13" t="n">
        <v>480</v>
      </c>
      <c r="F13" s="13" t="n">
        <v>555</v>
      </c>
      <c r="G13" s="13">
        <f>F13-E13</f>
        <v/>
      </c>
      <c r="H13" s="25" t="n">
        <v>0.8</v>
      </c>
      <c r="I13" s="25" t="n">
        <v>0.712</v>
      </c>
      <c r="J13" s="25" t="n">
        <v>0.9</v>
      </c>
      <c r="K13" s="25" t="n">
        <v>0.82</v>
      </c>
      <c r="L13" s="78" t="n">
        <v>4.2</v>
      </c>
      <c r="M13" s="78" t="n">
        <v>3.6</v>
      </c>
      <c r="N13" s="25">
        <f>(D13+IF(F13&lt;=E13,1,E13/F13)+I13/H13+K13/J13+M13/L13)/5</f>
        <v/>
      </c>
    </row>
    <row r="14">
      <c r="A14" s="27" t="inlineStr">
        <is>
          <t>March</t>
        </is>
      </c>
      <c r="B14" s="9" t="n">
        <v>150</v>
      </c>
      <c r="C14" s="9" t="n">
        <v>138</v>
      </c>
      <c r="D14" s="23">
        <f>C14/B14</f>
        <v/>
      </c>
      <c r="E14" s="9" t="n">
        <v>480</v>
      </c>
      <c r="F14" s="9" t="n">
        <v>525</v>
      </c>
      <c r="G14" s="9">
        <f>F14-E14</f>
        <v/>
      </c>
      <c r="H14" s="23" t="n">
        <v>0.8</v>
      </c>
      <c r="I14" s="23" t="n">
        <v>0.738</v>
      </c>
      <c r="J14" s="23" t="n">
        <v>0.9</v>
      </c>
      <c r="K14" s="23" t="n">
        <v>0.85</v>
      </c>
      <c r="L14" s="77" t="n">
        <v>4.2</v>
      </c>
      <c r="M14" s="77" t="n">
        <v>3.8</v>
      </c>
      <c r="N14" s="23">
        <f>(D14+IF(F14&lt;=E14,1,E14/F14)+I14/H14+K14/J14+M14/L14)/5</f>
        <v/>
      </c>
    </row>
    <row r="15">
      <c r="A15" s="29" t="inlineStr">
        <is>
          <t>April</t>
        </is>
      </c>
      <c r="B15" s="13" t="n">
        <v>150</v>
      </c>
      <c r="C15" s="13" t="n">
        <v>143</v>
      </c>
      <c r="D15" s="25">
        <f>C15/B15</f>
        <v/>
      </c>
      <c r="E15" s="13" t="n">
        <v>480</v>
      </c>
      <c r="F15" s="13" t="n">
        <v>500</v>
      </c>
      <c r="G15" s="13">
        <f>F15-E15</f>
        <v/>
      </c>
      <c r="H15" s="25" t="n">
        <v>0.8</v>
      </c>
      <c r="I15" s="25" t="n">
        <v>0.8080000000000001</v>
      </c>
      <c r="J15" s="25" t="n">
        <v>0.9</v>
      </c>
      <c r="K15" s="25" t="n">
        <v>0.88</v>
      </c>
      <c r="L15" s="78" t="n">
        <v>4.2</v>
      </c>
      <c r="M15" s="78" t="n">
        <v>4</v>
      </c>
      <c r="N15" s="25">
        <f>(D15+IF(F15&lt;=E15,1,E15/F15)+I15/H15+K15/J15+M15/L15)/5</f>
        <v/>
      </c>
    </row>
    <row r="16">
      <c r="A16" s="27" t="inlineStr">
        <is>
          <t>May</t>
        </is>
      </c>
      <c r="B16" s="9" t="n">
        <v>150</v>
      </c>
      <c r="C16" s="9" t="n">
        <v>147</v>
      </c>
      <c r="D16" s="23">
        <f>C16/B16</f>
        <v/>
      </c>
      <c r="E16" s="9" t="n">
        <v>480</v>
      </c>
      <c r="F16" s="9" t="n">
        <v>485</v>
      </c>
      <c r="G16" s="9">
        <f>F16-E16</f>
        <v/>
      </c>
      <c r="H16" s="23" t="n">
        <v>0.8</v>
      </c>
      <c r="I16" s="23" t="n">
        <v>0.825</v>
      </c>
      <c r="J16" s="23" t="n">
        <v>0.9</v>
      </c>
      <c r="K16" s="23" t="n">
        <v>0.9</v>
      </c>
      <c r="L16" s="77" t="n">
        <v>4.2</v>
      </c>
      <c r="M16" s="77" t="n">
        <v>4.2</v>
      </c>
      <c r="N16" s="23">
        <f>(D16+IF(F16&lt;=E16,1,E16/F16)+I16/H16+K16/J16+M16/L16)/5</f>
        <v/>
      </c>
    </row>
    <row r="17">
      <c r="A17" s="29" t="inlineStr">
        <is>
          <t>June</t>
        </is>
      </c>
      <c r="B17" s="13" t="n">
        <v>150</v>
      </c>
      <c r="C17" s="13" t="n">
        <v>150</v>
      </c>
      <c r="D17" s="25">
        <f>C17/B17</f>
        <v/>
      </c>
      <c r="E17" s="13" t="n">
        <v>480</v>
      </c>
      <c r="F17" s="13" t="n">
        <v>470</v>
      </c>
      <c r="G17" s="13">
        <f>F17-E17</f>
        <v/>
      </c>
      <c r="H17" s="25" t="n">
        <v>0.8</v>
      </c>
      <c r="I17" s="25" t="n">
        <v>0.842</v>
      </c>
      <c r="J17" s="25" t="n">
        <v>0.9</v>
      </c>
      <c r="K17" s="25" t="n">
        <v>0.93</v>
      </c>
      <c r="L17" s="78" t="n">
        <v>4.2</v>
      </c>
      <c r="M17" s="78" t="n">
        <v>4.4</v>
      </c>
      <c r="N17" s="25">
        <f>(D17+IF(F17&lt;=E17,1,E17/F17)+I17/H17+K17/J17+M17/L17)/5</f>
        <v/>
      </c>
    </row>
    <row r="18"/>
    <row r="19">
      <c r="A19" s="69" t="inlineStr">
        <is>
          <t>PENALTY / INCENTIVE PROXIMITY</t>
        </is>
      </c>
    </row>
    <row r="20">
      <c r="A20" s="76" t="inlineStr">
        <is>
          <t>KPI</t>
        </is>
      </c>
      <c r="B20" s="76" t="inlineStr">
        <is>
          <t>Current Value</t>
        </is>
      </c>
      <c r="C20" s="76" t="inlineStr">
        <is>
          <t>Target</t>
        </is>
      </c>
      <c r="D20" s="76" t="inlineStr">
        <is>
          <t>Penalty Threshold</t>
        </is>
      </c>
      <c r="E20" s="76" t="inlineStr">
        <is>
          <t>Gap to Penalty</t>
        </is>
      </c>
      <c r="F20" s="76" t="inlineStr">
        <is>
          <t>Incentive Threshold</t>
        </is>
      </c>
      <c r="G20" s="76" t="inlineStr">
        <is>
          <t>Gap to Incentive</t>
        </is>
      </c>
      <c r="H20" s="76" t="inlineStr">
        <is>
          <t>Status</t>
        </is>
      </c>
    </row>
    <row r="21">
      <c r="A21" s="11" t="inlineStr">
        <is>
          <t>Staffing Compliance</t>
        </is>
      </c>
      <c r="B21" s="23" t="n">
        <v>0.962</v>
      </c>
      <c r="C21" s="23" t="n">
        <v>1</v>
      </c>
      <c r="D21" s="23" t="n">
        <v>0.9</v>
      </c>
      <c r="E21" s="23">
        <f>B21-D21</f>
        <v/>
      </c>
      <c r="F21" s="23" t="n">
        <v>1.02</v>
      </c>
      <c r="G21" s="23">
        <f>F21-B21</f>
        <v/>
      </c>
      <c r="H21" s="65">
        <f>IF(B21&gt;=F21,"Incentive Zone",IF(B21&gt;=C21,"On Target",IF(B21&gt;=D21,"Watch Zone","Penalty Zone")))</f>
        <v/>
      </c>
    </row>
    <row r="22">
      <c r="A22" s="15" t="inlineStr">
        <is>
          <t>Average Handle Time</t>
        </is>
      </c>
      <c r="B22" s="15" t="n">
        <v>475</v>
      </c>
      <c r="C22" s="15" t="n">
        <v>480</v>
      </c>
      <c r="D22" s="15" t="n">
        <v>600</v>
      </c>
      <c r="E22" s="15">
        <f>D22-B22</f>
        <v/>
      </c>
      <c r="F22" s="15" t="n">
        <v>420</v>
      </c>
      <c r="G22" s="15">
        <f>B22-F22</f>
        <v/>
      </c>
      <c r="H22" s="65">
        <f>IF(B22&lt;=F22,"Incentive Zone",IF(B22&lt;=C22,"On Target",IF(B22&lt;=D22,"Watch Zone","Penalty Zone")))</f>
        <v/>
      </c>
    </row>
    <row r="23">
      <c r="A23" s="11" t="inlineStr">
        <is>
          <t>Service Level</t>
        </is>
      </c>
      <c r="B23" s="23" t="n">
        <v>0.8080000000000001</v>
      </c>
      <c r="C23" s="23" t="n">
        <v>0.8</v>
      </c>
      <c r="D23" s="23" t="n">
        <v>0.75</v>
      </c>
      <c r="E23" s="23">
        <f>B23-D23</f>
        <v/>
      </c>
      <c r="F23" s="23" t="n">
        <v>0.85</v>
      </c>
      <c r="G23" s="23">
        <f>F23-B23</f>
        <v/>
      </c>
      <c r="H23" s="65">
        <f>IF(B23&gt;=F23,"Incentive Zone",IF(B23&gt;=C23,"On Target",IF(B23&gt;=D23,"Watch Zone","Penalty Zone")))</f>
        <v/>
      </c>
    </row>
    <row r="24">
      <c r="A24" s="15" t="inlineStr">
        <is>
          <t>First Call Resolution</t>
        </is>
      </c>
      <c r="B24" s="25" t="n">
        <v>0.772</v>
      </c>
      <c r="C24" s="25" t="n">
        <v>0.75</v>
      </c>
      <c r="D24" s="25" t="n">
        <v>0.65</v>
      </c>
      <c r="E24" s="25">
        <f>B24-D24</f>
        <v/>
      </c>
      <c r="F24" s="25" t="n">
        <v>0.82</v>
      </c>
      <c r="G24" s="25">
        <f>F24-B24</f>
        <v/>
      </c>
      <c r="H24" s="65">
        <f>IF(B24&gt;=F24,"Incentive Zone",IF(B24&gt;=C24,"On Target",IF(B24&gt;=D24,"Watch Zone","Penalty Zone")))</f>
        <v/>
      </c>
    </row>
    <row r="25">
      <c r="A25" s="11" t="inlineStr">
        <is>
          <t>Quality Score</t>
        </is>
      </c>
      <c r="B25" s="23" t="n">
        <v>0.908</v>
      </c>
      <c r="C25" s="23" t="n">
        <v>0.9</v>
      </c>
      <c r="D25" s="23" t="n">
        <v>0.8</v>
      </c>
      <c r="E25" s="23">
        <f>B25-D25</f>
        <v/>
      </c>
      <c r="F25" s="23" t="n">
        <v>0.95</v>
      </c>
      <c r="G25" s="23">
        <f>F25-B25</f>
        <v/>
      </c>
      <c r="H25" s="65">
        <f>IF(B25&gt;=F25,"Incentive Zone",IF(B25&gt;=C25,"On Target",IF(B25&gt;=D25,"Watch Zone","Penalty Zone")))</f>
        <v/>
      </c>
    </row>
    <row r="26">
      <c r="A26" s="15" t="inlineStr">
        <is>
          <t>CSAT</t>
        </is>
      </c>
      <c r="B26" s="15" t="n">
        <v>4.2</v>
      </c>
      <c r="C26" s="15" t="n">
        <v>4.2</v>
      </c>
      <c r="D26" s="15" t="n">
        <v>3.5</v>
      </c>
      <c r="E26" s="15">
        <f>B26-D26</f>
        <v/>
      </c>
      <c r="F26" s="15" t="n">
        <v>4.5</v>
      </c>
      <c r="G26" s="15">
        <f>F26-B26</f>
        <v/>
      </c>
      <c r="H26" s="65">
        <f>IF(B26&gt;=F26,"Incentive Zone",IF(B26&gt;=C26,"On Target",IF(B26&gt;=D26,"Watch Zone","Penalty Zone")))</f>
        <v/>
      </c>
    </row>
  </sheetData>
  <mergeCells count="24">
    <mergeCell ref="C6:D6"/>
    <mergeCell ref="I6:J6"/>
    <mergeCell ref="C5:D5"/>
    <mergeCell ref="E5:F5"/>
    <mergeCell ref="K5:L5"/>
    <mergeCell ref="A6:B6"/>
    <mergeCell ref="A1:N1"/>
    <mergeCell ref="A7:B7"/>
    <mergeCell ref="G7:H7"/>
    <mergeCell ref="I7:J7"/>
    <mergeCell ref="G6:H6"/>
    <mergeCell ref="A4:L4"/>
    <mergeCell ref="A3:N3"/>
    <mergeCell ref="E6:F6"/>
    <mergeCell ref="A2:N2"/>
    <mergeCell ref="A5:B5"/>
    <mergeCell ref="G5:H5"/>
    <mergeCell ref="I5:J5"/>
    <mergeCell ref="K7:L7"/>
    <mergeCell ref="C7:D7"/>
    <mergeCell ref="E7:F7"/>
    <mergeCell ref="A19:H19"/>
    <mergeCell ref="A10:N10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45" customWidth="1" min="4" max="4"/>
    <col width="35" customWidth="1" min="5" max="5"/>
    <col width="18" customWidth="1" min="6" max="6"/>
    <col width="14" customWidth="1" min="7" max="7"/>
    <col width="16" customWidth="1" min="8" max="8"/>
    <col width="16" customWidth="1" min="9" max="9"/>
    <col width="30" customWidth="1" min="10" max="10"/>
    <col width="16" customWidth="1" min="11" max="11"/>
    <col width="30" customWidth="1" min="12" max="12"/>
    <col width="16" customWidth="1" min="13" max="13"/>
    <col width="18" customWidth="1" min="14" max="14"/>
    <col width="14" customWidth="1" min="15" max="15"/>
    <col width="35" customWidth="1" min="16" max="16"/>
  </cols>
  <sheetData>
    <row r="1" ht="35" customHeight="1">
      <c r="A1" s="1" t="inlineStr">
        <is>
          <t>KPI ID</t>
        </is>
      </c>
      <c r="B1" s="1" t="inlineStr">
        <is>
          <t>KPI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Measurement Method</t>
        </is>
      </c>
      <c r="F1" s="1" t="inlineStr">
        <is>
          <t>Reporting Frequency</t>
        </is>
      </c>
      <c r="G1" s="1" t="inlineStr">
        <is>
          <t>Target Value</t>
        </is>
      </c>
      <c r="H1" s="1" t="inlineStr">
        <is>
          <t>Minimum Acceptable</t>
        </is>
      </c>
      <c r="I1" s="1" t="inlineStr">
        <is>
          <t>Penalty Threshold</t>
        </is>
      </c>
      <c r="J1" s="1" t="inlineStr">
        <is>
          <t>Penalty Amount/Description</t>
        </is>
      </c>
      <c r="K1" s="1" t="inlineStr">
        <is>
          <t>Incentive Threshold</t>
        </is>
      </c>
      <c r="L1" s="1" t="inlineStr">
        <is>
          <t>Incentive Amount/Description</t>
        </is>
      </c>
      <c r="M1" s="1" t="inlineStr">
        <is>
          <t>Data Source</t>
        </is>
      </c>
      <c r="N1" s="1" t="inlineStr">
        <is>
          <t>Responsible Owner</t>
        </is>
      </c>
      <c r="O1" s="1" t="inlineStr">
        <is>
          <t>CLIN Reference</t>
        </is>
      </c>
      <c r="P1" s="1" t="inlineStr">
        <is>
          <t>Notes</t>
        </is>
      </c>
    </row>
    <row r="2">
      <c r="A2" s="2" t="inlineStr">
        <is>
          <t>KPI-001</t>
        </is>
      </c>
      <c r="B2" s="3" t="inlineStr">
        <is>
          <t>Fill Rate</t>
        </is>
      </c>
      <c r="C2" s="3" t="inlineStr">
        <is>
          <t>Staffing</t>
        </is>
      </c>
      <c r="D2" s="4" t="inlineStr">
        <is>
          <t>Percentage of positions filled vs authorized headcount</t>
        </is>
      </c>
      <c r="E2" s="3" t="inlineStr">
        <is>
          <t>Filled positions / Authorized positions</t>
        </is>
      </c>
      <c r="F2" s="2" t="inlineStr">
        <is>
          <t>Weekly</t>
        </is>
      </c>
      <c r="G2" s="3" t="inlineStr">
        <is>
          <t>95%</t>
        </is>
      </c>
      <c r="H2" s="3" t="inlineStr">
        <is>
          <t>90%</t>
        </is>
      </c>
      <c r="I2" s="3" t="inlineStr">
        <is>
          <t>&lt; 85%</t>
        </is>
      </c>
      <c r="J2" s="4" t="inlineStr">
        <is>
          <t>$5,000/mo per 5% below threshold</t>
        </is>
      </c>
      <c r="K2" s="3" t="inlineStr">
        <is>
          <t>&gt;= 98%</t>
        </is>
      </c>
      <c r="L2" s="4" t="inlineStr">
        <is>
          <t>$2,500 bonus per month</t>
        </is>
      </c>
      <c r="M2" s="3" t="inlineStr">
        <is>
          <t>HRIS System</t>
        </is>
      </c>
      <c r="N2" s="3" t="inlineStr">
        <is>
          <t>Staffing Manager</t>
        </is>
      </c>
      <c r="O2" s="3" t="inlineStr">
        <is>
          <t>CLIN 0001</t>
        </is>
      </c>
      <c r="P2" s="4" t="inlineStr">
        <is>
          <t>Critical during surge ramp</t>
        </is>
      </c>
    </row>
    <row r="3">
      <c r="A3" s="5" t="inlineStr">
        <is>
          <t>KPI-002</t>
        </is>
      </c>
      <c r="B3" s="6" t="inlineStr">
        <is>
          <t>Time to Fill</t>
        </is>
      </c>
      <c r="C3" s="6" t="inlineStr">
        <is>
          <t>Staffing</t>
        </is>
      </c>
      <c r="D3" s="7" t="inlineStr">
        <is>
          <t>Average days from requisition to start date</t>
        </is>
      </c>
      <c r="E3" s="6" t="inlineStr">
        <is>
          <t>Avg calendar days req-to-start</t>
        </is>
      </c>
      <c r="F3" s="5" t="inlineStr">
        <is>
          <t>Monthly</t>
        </is>
      </c>
      <c r="G3" s="6" t="inlineStr">
        <is>
          <t>30 days</t>
        </is>
      </c>
      <c r="H3" s="6" t="inlineStr">
        <is>
          <t>45 days</t>
        </is>
      </c>
      <c r="I3" s="6" t="inlineStr">
        <is>
          <t>&gt; 60 days</t>
        </is>
      </c>
      <c r="J3" s="7" t="inlineStr">
        <is>
          <t>$1,000 per position exceeding 60 days</t>
        </is>
      </c>
      <c r="K3" s="6" t="inlineStr">
        <is>
          <t>&lt;= 21 days</t>
        </is>
      </c>
      <c r="L3" s="7" t="inlineStr">
        <is>
          <t>$500 bonus per position</t>
        </is>
      </c>
      <c r="M3" s="6" t="inlineStr">
        <is>
          <t>ATS System</t>
        </is>
      </c>
      <c r="N3" s="6" t="inlineStr">
        <is>
          <t>Recruiting Lead</t>
        </is>
      </c>
      <c r="O3" s="6" t="inlineStr">
        <is>
          <t>CLIN 0001</t>
        </is>
      </c>
      <c r="P3" s="7" t="inlineStr">
        <is>
          <t>Expedited for surge positions</t>
        </is>
      </c>
    </row>
    <row r="4">
      <c r="A4" s="2" t="inlineStr">
        <is>
          <t>KPI-003</t>
        </is>
      </c>
      <c r="B4" s="3" t="inlineStr">
        <is>
          <t>Staffing Level Compliance</t>
        </is>
      </c>
      <c r="C4" s="3" t="inlineStr">
        <is>
          <t>Staffing</t>
        </is>
      </c>
      <c r="D4" s="4" t="inlineStr">
        <is>
          <t>Daily staffing levels vs contractual requirements</t>
        </is>
      </c>
      <c r="E4" s="3" t="inlineStr">
        <is>
          <t>Daily actual / Daily required</t>
        </is>
      </c>
      <c r="F4" s="2" t="inlineStr">
        <is>
          <t>Daily</t>
        </is>
      </c>
      <c r="G4" s="3" t="inlineStr">
        <is>
          <t>100%</t>
        </is>
      </c>
      <c r="H4" s="3" t="inlineStr">
        <is>
          <t>95%</t>
        </is>
      </c>
      <c r="I4" s="3" t="inlineStr">
        <is>
          <t>&lt; 90%</t>
        </is>
      </c>
      <c r="J4" s="4" t="inlineStr">
        <is>
          <t>$2,000/day below 90%</t>
        </is>
      </c>
      <c r="K4" s="3" t="inlineStr">
        <is>
          <t>&gt;= 102%</t>
        </is>
      </c>
      <c r="L4" s="4" t="inlineStr">
        <is>
          <t>$1,000/mo bonus</t>
        </is>
      </c>
      <c r="M4" s="3" t="inlineStr">
        <is>
          <t>WFM System</t>
        </is>
      </c>
      <c r="N4" s="3" t="inlineStr">
        <is>
          <t>Operations Manager</t>
        </is>
      </c>
      <c r="O4" s="3" t="inlineStr">
        <is>
          <t>CLIN 0002</t>
        </is>
      </c>
      <c r="P4" s="4" t="inlineStr">
        <is>
          <t>Measured per shift</t>
        </is>
      </c>
    </row>
    <row r="5">
      <c r="A5" s="5" t="inlineStr">
        <is>
          <t>KPI-004</t>
        </is>
      </c>
      <c r="B5" s="6" t="inlineStr">
        <is>
          <t>Attrition Rate</t>
        </is>
      </c>
      <c r="C5" s="6" t="inlineStr">
        <is>
          <t>Staffing</t>
        </is>
      </c>
      <c r="D5" s="7" t="inlineStr">
        <is>
          <t>Monthly voluntary and involuntary turnover</t>
        </is>
      </c>
      <c r="E5" s="6" t="inlineStr">
        <is>
          <t>Separations / Avg headcount</t>
        </is>
      </c>
      <c r="F5" s="5" t="inlineStr">
        <is>
          <t>Monthly</t>
        </is>
      </c>
      <c r="G5" s="6" t="inlineStr">
        <is>
          <t>&lt; 5%</t>
        </is>
      </c>
      <c r="H5" s="6" t="inlineStr">
        <is>
          <t>8%</t>
        </is>
      </c>
      <c r="I5" s="6" t="inlineStr">
        <is>
          <t>&gt; 10%</t>
        </is>
      </c>
      <c r="J5" s="7" t="inlineStr">
        <is>
          <t>$3,000 per % above threshold</t>
        </is>
      </c>
      <c r="K5" s="6" t="inlineStr">
        <is>
          <t>&lt;= 3%</t>
        </is>
      </c>
      <c r="L5" s="7" t="inlineStr">
        <is>
          <t>$1,500 bonus/mo</t>
        </is>
      </c>
      <c r="M5" s="6" t="inlineStr">
        <is>
          <t>HRIS System</t>
        </is>
      </c>
      <c r="N5" s="6" t="inlineStr">
        <is>
          <t>HR Manager</t>
        </is>
      </c>
      <c r="O5" s="6" t="inlineStr">
        <is>
          <t>CLIN 0001</t>
        </is>
      </c>
      <c r="P5" s="7" t="inlineStr">
        <is>
          <t>90-day new hire attrition tracked separately</t>
        </is>
      </c>
    </row>
    <row r="6">
      <c r="A6" s="2" t="inlineStr">
        <is>
          <t>KPI-005</t>
        </is>
      </c>
      <c r="B6" s="3" t="inlineStr">
        <is>
          <t>Absenteeism Rate</t>
        </is>
      </c>
      <c r="C6" s="3" t="inlineStr">
        <is>
          <t>Staffing</t>
        </is>
      </c>
      <c r="D6" s="4" t="inlineStr">
        <is>
          <t>Unplanned absences as percentage of scheduled hours</t>
        </is>
      </c>
      <c r="E6" s="3" t="inlineStr">
        <is>
          <t>Unplanned absent hours / Scheduled hours</t>
        </is>
      </c>
      <c r="F6" s="2" t="inlineStr">
        <is>
          <t>Weekly</t>
        </is>
      </c>
      <c r="G6" s="3" t="inlineStr">
        <is>
          <t>&lt; 4%</t>
        </is>
      </c>
      <c r="H6" s="3" t="inlineStr">
        <is>
          <t>6%</t>
        </is>
      </c>
      <c r="I6" s="3" t="inlineStr">
        <is>
          <t>&gt; 8%</t>
        </is>
      </c>
      <c r="J6" s="4" t="inlineStr">
        <is>
          <t>$1,500/mo per 2% above threshold</t>
        </is>
      </c>
      <c r="K6" s="3" t="inlineStr">
        <is>
          <t>&lt;= 2%</t>
        </is>
      </c>
      <c r="L6" s="4" t="inlineStr">
        <is>
          <t>$750 bonus/mo</t>
        </is>
      </c>
      <c r="M6" s="3" t="inlineStr">
        <is>
          <t>Time &amp; Attendance</t>
        </is>
      </c>
      <c r="N6" s="3" t="inlineStr">
        <is>
          <t>Supervisor</t>
        </is>
      </c>
      <c r="O6" s="3" t="inlineStr">
        <is>
          <t>CLIN 0002</t>
        </is>
      </c>
      <c r="P6" s="4" t="inlineStr">
        <is>
          <t>Excludes approved leave</t>
        </is>
      </c>
    </row>
    <row r="7">
      <c r="A7" s="5" t="inlineStr">
        <is>
          <t>KPI-006</t>
        </is>
      </c>
      <c r="B7" s="6" t="inlineStr">
        <is>
          <t>Average Handle Time</t>
        </is>
      </c>
      <c r="C7" s="6" t="inlineStr">
        <is>
          <t>Performance</t>
        </is>
      </c>
      <c r="D7" s="7" t="inlineStr">
        <is>
          <t>Average duration of call/task handling including wrap</t>
        </is>
      </c>
      <c r="E7" s="6" t="inlineStr">
        <is>
          <t>Total handle time / Total contacts</t>
        </is>
      </c>
      <c r="F7" s="5" t="inlineStr">
        <is>
          <t>Daily</t>
        </is>
      </c>
      <c r="G7" s="6" t="inlineStr">
        <is>
          <t>480 sec</t>
        </is>
      </c>
      <c r="H7" s="6" t="inlineStr">
        <is>
          <t>540 sec</t>
        </is>
      </c>
      <c r="I7" s="6" t="inlineStr">
        <is>
          <t>&gt; 600 sec</t>
        </is>
      </c>
      <c r="J7" s="7" t="inlineStr">
        <is>
          <t>$2,500/mo per 30 sec above threshold</t>
        </is>
      </c>
      <c r="K7" s="6" t="inlineStr">
        <is>
          <t>&lt;= 420 sec</t>
        </is>
      </c>
      <c r="L7" s="7" t="inlineStr">
        <is>
          <t>$1,250 bonus/mo</t>
        </is>
      </c>
      <c r="M7" s="6" t="inlineStr">
        <is>
          <t>ACD/CRM System</t>
        </is>
      </c>
      <c r="N7" s="6" t="inlineStr">
        <is>
          <t>Operations Manager</t>
        </is>
      </c>
      <c r="O7" s="6" t="inlineStr">
        <is>
          <t>CLIN 0003</t>
        </is>
      </c>
      <c r="P7" s="7" t="inlineStr">
        <is>
          <t>Blended across all contact types</t>
        </is>
      </c>
    </row>
    <row r="8">
      <c r="A8" s="2" t="inlineStr">
        <is>
          <t>KPI-007</t>
        </is>
      </c>
      <c r="B8" s="3" t="inlineStr">
        <is>
          <t>First Call Resolution</t>
        </is>
      </c>
      <c r="C8" s="3" t="inlineStr">
        <is>
          <t>Performance</t>
        </is>
      </c>
      <c r="D8" s="4" t="inlineStr">
        <is>
          <t>Percentage of contacts resolved on first interaction</t>
        </is>
      </c>
      <c r="E8" s="3" t="inlineStr">
        <is>
          <t>Resolved first contact / Total contacts</t>
        </is>
      </c>
      <c r="F8" s="2" t="inlineStr">
        <is>
          <t>Weekly</t>
        </is>
      </c>
      <c r="G8" s="3" t="inlineStr">
        <is>
          <t>75%</t>
        </is>
      </c>
      <c r="H8" s="3" t="inlineStr">
        <is>
          <t>70%</t>
        </is>
      </c>
      <c r="I8" s="3" t="inlineStr">
        <is>
          <t>&lt; 65%</t>
        </is>
      </c>
      <c r="J8" s="4" t="inlineStr">
        <is>
          <t>$3,000/mo per 5% below threshold</t>
        </is>
      </c>
      <c r="K8" s="3" t="inlineStr">
        <is>
          <t>&gt;= 82%</t>
        </is>
      </c>
      <c r="L8" s="4" t="inlineStr">
        <is>
          <t>$2,000 bonus/mo</t>
        </is>
      </c>
      <c r="M8" s="3" t="inlineStr">
        <is>
          <t>CRM System</t>
        </is>
      </c>
      <c r="N8" s="3" t="inlineStr">
        <is>
          <t>Quality Manager</t>
        </is>
      </c>
      <c r="O8" s="3" t="inlineStr">
        <is>
          <t>CLIN 0003</t>
        </is>
      </c>
      <c r="P8" s="4" t="inlineStr">
        <is>
          <t>Measured via disposition codes</t>
        </is>
      </c>
    </row>
    <row r="9">
      <c r="A9" s="5" t="inlineStr">
        <is>
          <t>KPI-008</t>
        </is>
      </c>
      <c r="B9" s="6" t="inlineStr">
        <is>
          <t>Average Speed of Answer</t>
        </is>
      </c>
      <c r="C9" s="6" t="inlineStr">
        <is>
          <t>Performance</t>
        </is>
      </c>
      <c r="D9" s="7" t="inlineStr">
        <is>
          <t>Average time callers wait before agent answers</t>
        </is>
      </c>
      <c r="E9" s="6" t="inlineStr">
        <is>
          <t>Total wait time / Total answered calls</t>
        </is>
      </c>
      <c r="F9" s="5" t="inlineStr">
        <is>
          <t>Daily</t>
        </is>
      </c>
      <c r="G9" s="6" t="inlineStr">
        <is>
          <t>30 sec</t>
        </is>
      </c>
      <c r="H9" s="6" t="inlineStr">
        <is>
          <t>45 sec</t>
        </is>
      </c>
      <c r="I9" s="6" t="inlineStr">
        <is>
          <t>&gt; 60 sec</t>
        </is>
      </c>
      <c r="J9" s="7" t="inlineStr">
        <is>
          <t>$2,000/mo per 15 sec above threshold</t>
        </is>
      </c>
      <c r="K9" s="6" t="inlineStr">
        <is>
          <t>&lt;= 20 sec</t>
        </is>
      </c>
      <c r="L9" s="7" t="inlineStr">
        <is>
          <t>$1,000 bonus/mo</t>
        </is>
      </c>
      <c r="M9" s="6" t="inlineStr">
        <is>
          <t>ACD System</t>
        </is>
      </c>
      <c r="N9" s="6" t="inlineStr">
        <is>
          <t>WFM Analyst</t>
        </is>
      </c>
      <c r="O9" s="6" t="inlineStr">
        <is>
          <t>CLIN 0003</t>
        </is>
      </c>
      <c r="P9" s="7" t="inlineStr">
        <is>
          <t>During operating hours only</t>
        </is>
      </c>
    </row>
    <row r="10">
      <c r="A10" s="2" t="inlineStr">
        <is>
          <t>KPI-009</t>
        </is>
      </c>
      <c r="B10" s="3" t="inlineStr">
        <is>
          <t>Abandonment Rate</t>
        </is>
      </c>
      <c r="C10" s="3" t="inlineStr">
        <is>
          <t>Performance</t>
        </is>
      </c>
      <c r="D10" s="4" t="inlineStr">
        <is>
          <t>Percentage of contacts abandoned before answer</t>
        </is>
      </c>
      <c r="E10" s="3" t="inlineStr">
        <is>
          <t>Abandoned / Total offered</t>
        </is>
      </c>
      <c r="F10" s="2" t="inlineStr">
        <is>
          <t>Daily</t>
        </is>
      </c>
      <c r="G10" s="3" t="inlineStr">
        <is>
          <t>&lt; 5%</t>
        </is>
      </c>
      <c r="H10" s="3" t="inlineStr">
        <is>
          <t>8%</t>
        </is>
      </c>
      <c r="I10" s="3" t="inlineStr">
        <is>
          <t>&gt; 10%</t>
        </is>
      </c>
      <c r="J10" s="4" t="inlineStr">
        <is>
          <t>$2,000/mo per 2% above threshold</t>
        </is>
      </c>
      <c r="K10" s="3" t="inlineStr">
        <is>
          <t>&lt;= 3%</t>
        </is>
      </c>
      <c r="L10" s="4" t="inlineStr">
        <is>
          <t>$1,000 bonus/mo</t>
        </is>
      </c>
      <c r="M10" s="3" t="inlineStr">
        <is>
          <t>ACD System</t>
        </is>
      </c>
      <c r="N10" s="3" t="inlineStr">
        <is>
          <t>WFM Analyst</t>
        </is>
      </c>
      <c r="O10" s="3" t="inlineStr">
        <is>
          <t>CLIN 0003</t>
        </is>
      </c>
      <c r="P10" s="4" t="inlineStr">
        <is>
          <t>Excludes calls &lt; 10 sec</t>
        </is>
      </c>
    </row>
    <row r="11">
      <c r="A11" s="5" t="inlineStr">
        <is>
          <t>KPI-010</t>
        </is>
      </c>
      <c r="B11" s="6" t="inlineStr">
        <is>
          <t>Schedule Adherence</t>
        </is>
      </c>
      <c r="C11" s="6" t="inlineStr">
        <is>
          <t>Performance</t>
        </is>
      </c>
      <c r="D11" s="7" t="inlineStr">
        <is>
          <t>Agent adherence to assigned schedule</t>
        </is>
      </c>
      <c r="E11" s="6" t="inlineStr">
        <is>
          <t>Time in adherence / Scheduled time</t>
        </is>
      </c>
      <c r="F11" s="5" t="inlineStr">
        <is>
          <t>Daily</t>
        </is>
      </c>
      <c r="G11" s="6" t="inlineStr">
        <is>
          <t>92%</t>
        </is>
      </c>
      <c r="H11" s="6" t="inlineStr">
        <is>
          <t>88%</t>
        </is>
      </c>
      <c r="I11" s="6" t="inlineStr">
        <is>
          <t>&lt; 85%</t>
        </is>
      </c>
      <c r="J11" s="7" t="inlineStr">
        <is>
          <t>$1,500/mo per 3% below threshold</t>
        </is>
      </c>
      <c r="K11" s="6" t="inlineStr">
        <is>
          <t>&gt;= 96%</t>
        </is>
      </c>
      <c r="L11" s="7" t="inlineStr">
        <is>
          <t>$750 bonus/mo</t>
        </is>
      </c>
      <c r="M11" s="6" t="inlineStr">
        <is>
          <t>WFM System</t>
        </is>
      </c>
      <c r="N11" s="6" t="inlineStr">
        <is>
          <t>Team Leads</t>
        </is>
      </c>
      <c r="O11" s="6" t="inlineStr">
        <is>
          <t>CLIN 0003</t>
        </is>
      </c>
      <c r="P11" s="7" t="inlineStr">
        <is>
          <t>Includes all schedule activities</t>
        </is>
      </c>
    </row>
    <row r="12">
      <c r="A12" s="2" t="inlineStr">
        <is>
          <t>KPI-011</t>
        </is>
      </c>
      <c r="B12" s="3" t="inlineStr">
        <is>
          <t>Quality Assurance Score</t>
        </is>
      </c>
      <c r="C12" s="3" t="inlineStr">
        <is>
          <t>Quality</t>
        </is>
      </c>
      <c r="D12" s="4" t="inlineStr">
        <is>
          <t>Average QA evaluation score across all agents</t>
        </is>
      </c>
      <c r="E12" s="3" t="inlineStr">
        <is>
          <t>Avg score of evaluated contacts</t>
        </is>
      </c>
      <c r="F12" s="2" t="inlineStr">
        <is>
          <t>Weekly</t>
        </is>
      </c>
      <c r="G12" s="3" t="inlineStr">
        <is>
          <t>90%</t>
        </is>
      </c>
      <c r="H12" s="3" t="inlineStr">
        <is>
          <t>85%</t>
        </is>
      </c>
      <c r="I12" s="3" t="inlineStr">
        <is>
          <t>&lt; 80%</t>
        </is>
      </c>
      <c r="J12" s="4" t="inlineStr">
        <is>
          <t>$3,500/mo per 5% below threshold</t>
        </is>
      </c>
      <c r="K12" s="3" t="inlineStr">
        <is>
          <t>&gt;= 95%</t>
        </is>
      </c>
      <c r="L12" s="4" t="inlineStr">
        <is>
          <t>$2,000 bonus/mo</t>
        </is>
      </c>
      <c r="M12" s="3" t="inlineStr">
        <is>
          <t>QA Platform</t>
        </is>
      </c>
      <c r="N12" s="3" t="inlineStr">
        <is>
          <t>Quality Manager</t>
        </is>
      </c>
      <c r="O12" s="3" t="inlineStr">
        <is>
          <t>CLIN 0004</t>
        </is>
      </c>
      <c r="P12" s="4" t="inlineStr">
        <is>
          <t>Minimum 5 evals per agent/mo</t>
        </is>
      </c>
    </row>
    <row r="13">
      <c r="A13" s="5" t="inlineStr">
        <is>
          <t>KPI-012</t>
        </is>
      </c>
      <c r="B13" s="6" t="inlineStr">
        <is>
          <t>Error Rate</t>
        </is>
      </c>
      <c r="C13" s="6" t="inlineStr">
        <is>
          <t>Quality</t>
        </is>
      </c>
      <c r="D13" s="7" t="inlineStr">
        <is>
          <t>Percentage of transactions with processing errors</t>
        </is>
      </c>
      <c r="E13" s="6" t="inlineStr">
        <is>
          <t>Errors identified / Total transactions</t>
        </is>
      </c>
      <c r="F13" s="5" t="inlineStr">
        <is>
          <t>Monthly</t>
        </is>
      </c>
      <c r="G13" s="6" t="inlineStr">
        <is>
          <t>&lt; 2%</t>
        </is>
      </c>
      <c r="H13" s="6" t="inlineStr">
        <is>
          <t>4%</t>
        </is>
      </c>
      <c r="I13" s="6" t="inlineStr">
        <is>
          <t>&gt; 5%</t>
        </is>
      </c>
      <c r="J13" s="7" t="inlineStr">
        <is>
          <t>$2,500/mo per 1% above threshold</t>
        </is>
      </c>
      <c r="K13" s="6" t="inlineStr">
        <is>
          <t>&lt;= 1%</t>
        </is>
      </c>
      <c r="L13" s="7" t="inlineStr">
        <is>
          <t>$1,250 bonus/mo</t>
        </is>
      </c>
      <c r="M13" s="6" t="inlineStr">
        <is>
          <t>Audit System</t>
        </is>
      </c>
      <c r="N13" s="6" t="inlineStr">
        <is>
          <t>Quality Manager</t>
        </is>
      </c>
      <c r="O13" s="6" t="inlineStr">
        <is>
          <t>CLIN 0004</t>
        </is>
      </c>
      <c r="P13" s="7" t="inlineStr">
        <is>
          <t>Includes data entry and procedural errors</t>
        </is>
      </c>
    </row>
    <row r="14">
      <c r="A14" s="2" t="inlineStr">
        <is>
          <t>KPI-013</t>
        </is>
      </c>
      <c r="B14" s="3" t="inlineStr">
        <is>
          <t>Compliance Audit Score</t>
        </is>
      </c>
      <c r="C14" s="3" t="inlineStr">
        <is>
          <t>Quality</t>
        </is>
      </c>
      <c r="D14" s="4" t="inlineStr">
        <is>
          <t>Score on periodic compliance audits</t>
        </is>
      </c>
      <c r="E14" s="3" t="inlineStr">
        <is>
          <t>Audit points earned / Total possible</t>
        </is>
      </c>
      <c r="F14" s="2" t="inlineStr">
        <is>
          <t>Quarterly</t>
        </is>
      </c>
      <c r="G14" s="3" t="inlineStr">
        <is>
          <t>95%</t>
        </is>
      </c>
      <c r="H14" s="3" t="inlineStr">
        <is>
          <t>90%</t>
        </is>
      </c>
      <c r="I14" s="3" t="inlineStr">
        <is>
          <t>&lt; 85%</t>
        </is>
      </c>
      <c r="J14" s="4" t="inlineStr">
        <is>
          <t>$5,000 per audit below threshold</t>
        </is>
      </c>
      <c r="K14" s="3" t="inlineStr">
        <is>
          <t>&gt;= 98%</t>
        </is>
      </c>
      <c r="L14" s="4" t="inlineStr">
        <is>
          <t>$2,500 bonus/quarter</t>
        </is>
      </c>
      <c r="M14" s="3" t="inlineStr">
        <is>
          <t>Audit Reports</t>
        </is>
      </c>
      <c r="N14" s="3" t="inlineStr">
        <is>
          <t>Compliance Officer</t>
        </is>
      </c>
      <c r="O14" s="3" t="inlineStr">
        <is>
          <t>CLIN 0005</t>
        </is>
      </c>
      <c r="P14" s="4" t="inlineStr">
        <is>
          <t>Covers regulatory and contractual compliance</t>
        </is>
      </c>
    </row>
    <row r="15">
      <c r="A15" s="5" t="inlineStr">
        <is>
          <t>KPI-014</t>
        </is>
      </c>
      <c r="B15" s="6" t="inlineStr">
        <is>
          <t>Training Completion Rate</t>
        </is>
      </c>
      <c r="C15" s="6" t="inlineStr">
        <is>
          <t>Quality</t>
        </is>
      </c>
      <c r="D15" s="7" t="inlineStr">
        <is>
          <t>Percentage of required training completed on time</t>
        </is>
      </c>
      <c r="E15" s="6" t="inlineStr">
        <is>
          <t>Completed on time / Required</t>
        </is>
      </c>
      <c r="F15" s="5" t="inlineStr">
        <is>
          <t>Monthly</t>
        </is>
      </c>
      <c r="G15" s="6" t="inlineStr">
        <is>
          <t>98%</t>
        </is>
      </c>
      <c r="H15" s="6" t="inlineStr">
        <is>
          <t>95%</t>
        </is>
      </c>
      <c r="I15" s="6" t="inlineStr">
        <is>
          <t>&lt; 90%</t>
        </is>
      </c>
      <c r="J15" s="7" t="inlineStr">
        <is>
          <t>$1,000/mo per 5% below threshold</t>
        </is>
      </c>
      <c r="K15" s="6" t="inlineStr">
        <is>
          <t>100%</t>
        </is>
      </c>
      <c r="L15" s="7" t="inlineStr">
        <is>
          <t>$500 bonus/mo</t>
        </is>
      </c>
      <c r="M15" s="6" t="inlineStr">
        <is>
          <t>LMS System</t>
        </is>
      </c>
      <c r="N15" s="6" t="inlineStr">
        <is>
          <t>Training Manager</t>
        </is>
      </c>
      <c r="O15" s="6" t="inlineStr">
        <is>
          <t>CLIN 0004</t>
        </is>
      </c>
      <c r="P15" s="7" t="inlineStr">
        <is>
          <t>Includes initial and recurring training</t>
        </is>
      </c>
    </row>
    <row r="16">
      <c r="A16" s="2" t="inlineStr">
        <is>
          <t>KPI-015</t>
        </is>
      </c>
      <c r="B16" s="3" t="inlineStr">
        <is>
          <t>Customer Satisfaction (CSAT)</t>
        </is>
      </c>
      <c r="C16" s="3" t="inlineStr">
        <is>
          <t>Customer Experience</t>
        </is>
      </c>
      <c r="D16" s="4" t="inlineStr">
        <is>
          <t>Post-interaction customer satisfaction score</t>
        </is>
      </c>
      <c r="E16" s="3" t="inlineStr">
        <is>
          <t>Avg survey score (1-5 scale)</t>
        </is>
      </c>
      <c r="F16" s="2" t="inlineStr">
        <is>
          <t>Monthly</t>
        </is>
      </c>
      <c r="G16" s="3" t="inlineStr">
        <is>
          <t>4.2</t>
        </is>
      </c>
      <c r="H16" s="3" t="inlineStr">
        <is>
          <t>3.8</t>
        </is>
      </c>
      <c r="I16" s="3" t="inlineStr">
        <is>
          <t>&lt; 3.5</t>
        </is>
      </c>
      <c r="J16" s="4" t="inlineStr">
        <is>
          <t>$4,000/mo per 0.3 below threshold</t>
        </is>
      </c>
      <c r="K16" s="3" t="inlineStr">
        <is>
          <t>&gt;= 4.5</t>
        </is>
      </c>
      <c r="L16" s="4" t="inlineStr">
        <is>
          <t>$2,500 bonus/mo</t>
        </is>
      </c>
      <c r="M16" s="3" t="inlineStr">
        <is>
          <t>Survey Platform</t>
        </is>
      </c>
      <c r="N16" s="3" t="inlineStr">
        <is>
          <t>CX Manager</t>
        </is>
      </c>
      <c r="O16" s="3" t="inlineStr">
        <is>
          <t>CLIN 0006</t>
        </is>
      </c>
      <c r="P16" s="4" t="inlineStr">
        <is>
          <t>Minimum 15% response rate required</t>
        </is>
      </c>
    </row>
    <row r="17">
      <c r="A17" s="5" t="inlineStr">
        <is>
          <t>KPI-016</t>
        </is>
      </c>
      <c r="B17" s="6" t="inlineStr">
        <is>
          <t>Net Promoter Score</t>
        </is>
      </c>
      <c r="C17" s="6" t="inlineStr">
        <is>
          <t>Customer Experience</t>
        </is>
      </c>
      <c r="D17" s="7" t="inlineStr">
        <is>
          <t>Customer likelihood to recommend service</t>
        </is>
      </c>
      <c r="E17" s="6" t="inlineStr">
        <is>
          <t>% Promoters - % Detractors</t>
        </is>
      </c>
      <c r="F17" s="5" t="inlineStr">
        <is>
          <t>Quarterly</t>
        </is>
      </c>
      <c r="G17" s="6" t="inlineStr">
        <is>
          <t>40</t>
        </is>
      </c>
      <c r="H17" s="6" t="inlineStr">
        <is>
          <t>25</t>
        </is>
      </c>
      <c r="I17" s="6" t="inlineStr">
        <is>
          <t>&lt; 15</t>
        </is>
      </c>
      <c r="J17" s="7" t="inlineStr">
        <is>
          <t>$5,000/quarter below threshold</t>
        </is>
      </c>
      <c r="K17" s="6" t="inlineStr">
        <is>
          <t>&gt;= 55</t>
        </is>
      </c>
      <c r="L17" s="7" t="inlineStr">
        <is>
          <t>$3,000 bonus/quarter</t>
        </is>
      </c>
      <c r="M17" s="6" t="inlineStr">
        <is>
          <t>Survey Platform</t>
        </is>
      </c>
      <c r="N17" s="6" t="inlineStr">
        <is>
          <t>CX Manager</t>
        </is>
      </c>
      <c r="O17" s="6" t="inlineStr">
        <is>
          <t>CLIN 0006</t>
        </is>
      </c>
      <c r="P17" s="7" t="inlineStr">
        <is>
          <t>Measured quarterly</t>
        </is>
      </c>
    </row>
    <row r="18">
      <c r="A18" s="2" t="inlineStr">
        <is>
          <t>KPI-017</t>
        </is>
      </c>
      <c r="B18" s="3" t="inlineStr">
        <is>
          <t>Complaint Rate</t>
        </is>
      </c>
      <c r="C18" s="3" t="inlineStr">
        <is>
          <t>Customer Experience</t>
        </is>
      </c>
      <c r="D18" s="4" t="inlineStr">
        <is>
          <t>Formal complaints per 1000 interactions</t>
        </is>
      </c>
      <c r="E18" s="3" t="inlineStr">
        <is>
          <t>Complaints / (Total interactions/1000)</t>
        </is>
      </c>
      <c r="F18" s="2" t="inlineStr">
        <is>
          <t>Monthly</t>
        </is>
      </c>
      <c r="G18" s="3" t="inlineStr">
        <is>
          <t>&lt; 3</t>
        </is>
      </c>
      <c r="H18" s="3" t="inlineStr">
        <is>
          <t>5</t>
        </is>
      </c>
      <c r="I18" s="3" t="inlineStr">
        <is>
          <t>&gt; 7</t>
        </is>
      </c>
      <c r="J18" s="4" t="inlineStr">
        <is>
          <t>$2,000/mo per complaint above threshold</t>
        </is>
      </c>
      <c r="K18" s="3" t="inlineStr">
        <is>
          <t>&lt;= 1.5</t>
        </is>
      </c>
      <c r="L18" s="4" t="inlineStr">
        <is>
          <t>$1,000 bonus/mo</t>
        </is>
      </c>
      <c r="M18" s="3" t="inlineStr">
        <is>
          <t>CRM System</t>
        </is>
      </c>
      <c r="N18" s="3" t="inlineStr">
        <is>
          <t>CX Manager</t>
        </is>
      </c>
      <c r="O18" s="3" t="inlineStr">
        <is>
          <t>CLIN 0006</t>
        </is>
      </c>
      <c r="P18" s="4" t="inlineStr">
        <is>
          <t>Includes written and escalated verbal complaints</t>
        </is>
      </c>
    </row>
    <row r="19">
      <c r="A19" s="5" t="inlineStr">
        <is>
          <t>KPI-018</t>
        </is>
      </c>
      <c r="B19" s="6" t="inlineStr">
        <is>
          <t>Escalation Rate</t>
        </is>
      </c>
      <c r="C19" s="6" t="inlineStr">
        <is>
          <t>Customer Experience</t>
        </is>
      </c>
      <c r="D19" s="7" t="inlineStr">
        <is>
          <t>Percentage of contacts requiring supervisor escalation</t>
        </is>
      </c>
      <c r="E19" s="6" t="inlineStr">
        <is>
          <t>Escalated / Total contacts</t>
        </is>
      </c>
      <c r="F19" s="5" t="inlineStr">
        <is>
          <t>Weekly</t>
        </is>
      </c>
      <c r="G19" s="6" t="inlineStr">
        <is>
          <t>&lt; 8%</t>
        </is>
      </c>
      <c r="H19" s="6" t="inlineStr">
        <is>
          <t>12%</t>
        </is>
      </c>
      <c r="I19" s="6" t="inlineStr">
        <is>
          <t>&gt; 15%</t>
        </is>
      </c>
      <c r="J19" s="7" t="inlineStr">
        <is>
          <t>$1,500/mo per 3% above threshold</t>
        </is>
      </c>
      <c r="K19" s="6" t="inlineStr">
        <is>
          <t>&lt;= 5%</t>
        </is>
      </c>
      <c r="L19" s="7" t="inlineStr">
        <is>
          <t>$750 bonus/mo</t>
        </is>
      </c>
      <c r="M19" s="6" t="inlineStr">
        <is>
          <t>CRM System</t>
        </is>
      </c>
      <c r="N19" s="6" t="inlineStr">
        <is>
          <t>Operations Manager</t>
        </is>
      </c>
      <c r="O19" s="6" t="inlineStr">
        <is>
          <t>CLIN 0006</t>
        </is>
      </c>
      <c r="P19" s="7" t="inlineStr">
        <is>
          <t>Tier 2+ escalations only</t>
        </is>
      </c>
    </row>
    <row r="20">
      <c r="A20" s="2" t="inlineStr">
        <is>
          <t>KPI-019</t>
        </is>
      </c>
      <c r="B20" s="3" t="inlineStr">
        <is>
          <t>On-Time Delivery</t>
        </is>
      </c>
      <c r="C20" s="3" t="inlineStr">
        <is>
          <t>Timeliness</t>
        </is>
      </c>
      <c r="D20" s="4" t="inlineStr">
        <is>
          <t>Percentage of deliverables submitted on or before due date</t>
        </is>
      </c>
      <c r="E20" s="3" t="inlineStr">
        <is>
          <t>On-time deliverables / Total due</t>
        </is>
      </c>
      <c r="F20" s="2" t="inlineStr">
        <is>
          <t>Monthly</t>
        </is>
      </c>
      <c r="G20" s="3" t="inlineStr">
        <is>
          <t>98%</t>
        </is>
      </c>
      <c r="H20" s="3" t="inlineStr">
        <is>
          <t>95%</t>
        </is>
      </c>
      <c r="I20" s="3" t="inlineStr">
        <is>
          <t>&lt; 90%</t>
        </is>
      </c>
      <c r="J20" s="4" t="inlineStr">
        <is>
          <t>$2,000 per late deliverable</t>
        </is>
      </c>
      <c r="K20" s="3" t="inlineStr">
        <is>
          <t>100%</t>
        </is>
      </c>
      <c r="L20" s="4" t="inlineStr">
        <is>
          <t>$1,000 bonus/mo</t>
        </is>
      </c>
      <c r="M20" s="3" t="inlineStr">
        <is>
          <t>Project Tracker</t>
        </is>
      </c>
      <c r="N20" s="3" t="inlineStr">
        <is>
          <t>Program Manager</t>
        </is>
      </c>
      <c r="O20" s="3" t="inlineStr">
        <is>
          <t>CLIN 0007</t>
        </is>
      </c>
      <c r="P20" s="4" t="inlineStr">
        <is>
          <t>Includes reports, data submissions, invoices</t>
        </is>
      </c>
    </row>
    <row r="21">
      <c r="A21" s="5" t="inlineStr">
        <is>
          <t>KPI-020</t>
        </is>
      </c>
      <c r="B21" s="6" t="inlineStr">
        <is>
          <t>Response Time SLA</t>
        </is>
      </c>
      <c r="C21" s="6" t="inlineStr">
        <is>
          <t>Timeliness</t>
        </is>
      </c>
      <c r="D21" s="7" t="inlineStr">
        <is>
          <t>Government inquiries responded to within SLA timeframe</t>
        </is>
      </c>
      <c r="E21" s="6" t="inlineStr">
        <is>
          <t>Responses within SLA / Total inquiries</t>
        </is>
      </c>
      <c r="F21" s="5" t="inlineStr">
        <is>
          <t>Weekly</t>
        </is>
      </c>
      <c r="G21" s="6" t="inlineStr">
        <is>
          <t>95%</t>
        </is>
      </c>
      <c r="H21" s="6" t="inlineStr">
        <is>
          <t>90%</t>
        </is>
      </c>
      <c r="I21" s="6" t="inlineStr">
        <is>
          <t>&lt; 85%</t>
        </is>
      </c>
      <c r="J21" s="7" t="inlineStr">
        <is>
          <t>$1,500 per 5% below threshold</t>
        </is>
      </c>
      <c r="K21" s="6" t="inlineStr">
        <is>
          <t>&gt;= 98%</t>
        </is>
      </c>
      <c r="L21" s="7" t="inlineStr">
        <is>
          <t>$750 bonus/mo</t>
        </is>
      </c>
      <c r="M21" s="6" t="inlineStr">
        <is>
          <t>Ticketing System</t>
        </is>
      </c>
      <c r="N21" s="6" t="inlineStr">
        <is>
          <t>Program Manager</t>
        </is>
      </c>
      <c r="O21" s="6" t="inlineStr">
        <is>
          <t>CLIN 0007</t>
        </is>
      </c>
      <c r="P21" s="7" t="inlineStr">
        <is>
          <t>4-hour SLA for urgent, 24-hour for standard</t>
        </is>
      </c>
    </row>
  </sheetData>
  <dataValidations count="2">
    <dataValidation sqref="C2:C100" showDropDown="0" showInputMessage="0" showErrorMessage="0" allowBlank="1" type="list">
      <formula1>"Staffing,Performance,Quality,Customer Experience,Compliance,Timeliness"</formula1>
    </dataValidation>
    <dataValidation sqref="F2:F100" showDropDown="0" showInputMessage="0" showErrorMessage="0" allowBlank="1" type="list">
      <formula1>"Daily,Weekly,Monthly,Quarterly"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6" customWidth="1" min="5" max="5"/>
    <col width="16" customWidth="1" min="6" max="6"/>
    <col width="15" customWidth="1" min="7" max="7"/>
    <col width="18" customWidth="1" min="8" max="8"/>
    <col width="20" customWidth="1" min="9" max="9"/>
    <col width="14" customWidth="1" min="10" max="10"/>
    <col width="18" customWidth="1" min="11" max="11"/>
    <col width="12" customWidth="1" min="12" max="12"/>
    <col width="14" customWidth="1" min="13" max="13"/>
    <col width="12" customWidth="1" min="14" max="14"/>
    <col width="16" customWidth="1" min="15" max="15"/>
    <col width="18" customWidth="1" min="16" max="16"/>
    <col width="25" customWidth="1" min="17" max="17"/>
  </cols>
  <sheetData>
    <row r="1" ht="40" customHeight="1">
      <c r="A1" s="1" t="inlineStr">
        <is>
          <t>Date</t>
        </is>
      </c>
      <c r="B1" s="1" t="inlineStr">
        <is>
          <t>Staffing Target</t>
        </is>
      </c>
      <c r="C1" s="1" t="inlineStr">
        <is>
          <t>Staffing Actual</t>
        </is>
      </c>
      <c r="D1" s="1" t="inlineStr">
        <is>
          <t>Staffing %</t>
        </is>
      </c>
      <c r="E1" s="1" t="inlineStr">
        <is>
          <t>Calls/Tasks Offered</t>
        </is>
      </c>
      <c r="F1" s="1" t="inlineStr">
        <is>
          <t>Calls/Tasks Handled</t>
        </is>
      </c>
      <c r="G1" s="1" t="inlineStr">
        <is>
          <t>Abandonment Rate</t>
        </is>
      </c>
      <c r="H1" s="1" t="inlineStr">
        <is>
          <t>Avg Handle Time (sec)</t>
        </is>
      </c>
      <c r="I1" s="1" t="inlineStr">
        <is>
          <t>Avg Speed of Answer (sec)</t>
        </is>
      </c>
      <c r="J1" s="1" t="inlineStr">
        <is>
          <t>Service Level %</t>
        </is>
      </c>
      <c r="K1" s="1" t="inlineStr">
        <is>
          <t>First Call Resolution %</t>
        </is>
      </c>
      <c r="L1" s="1" t="inlineStr">
        <is>
          <t>QA Samples</t>
        </is>
      </c>
      <c r="M1" s="1" t="inlineStr">
        <is>
          <t>QA Pass Rate %</t>
        </is>
      </c>
      <c r="N1" s="1" t="inlineStr">
        <is>
          <t>Escalations</t>
        </is>
      </c>
      <c r="O1" s="1" t="inlineStr">
        <is>
          <t>Customer Complaints</t>
        </is>
      </c>
      <c r="P1" s="1" t="inlineStr">
        <is>
          <t>Schedule Adherence %</t>
        </is>
      </c>
      <c r="Q1" s="1" t="inlineStr">
        <is>
          <t>Notes</t>
        </is>
      </c>
    </row>
    <row r="2">
      <c r="A2" s="22" t="n">
        <v>46103</v>
      </c>
      <c r="B2" s="9" t="n">
        <v>150</v>
      </c>
      <c r="C2" s="9" t="n">
        <v>143</v>
      </c>
      <c r="D2" s="23">
        <f>C2/B2</f>
        <v/>
      </c>
      <c r="E2" s="9" t="n">
        <v>1825</v>
      </c>
      <c r="F2" s="9" t="n">
        <v>1651</v>
      </c>
      <c r="G2" s="23">
        <f>1-(F2/E2)</f>
        <v/>
      </c>
      <c r="H2" s="9" t="n">
        <v>552</v>
      </c>
      <c r="I2" s="9" t="n">
        <v>48</v>
      </c>
      <c r="J2" s="23" t="n">
        <v>0.6656</v>
      </c>
      <c r="K2" s="23" t="n">
        <v>0.6341</v>
      </c>
      <c r="L2" s="11" t="n">
        <v>42</v>
      </c>
      <c r="M2" s="23" t="n">
        <v>0.7835</v>
      </c>
      <c r="N2" s="11" t="n">
        <v>16</v>
      </c>
      <c r="O2" s="11" t="n">
        <v>7</v>
      </c>
      <c r="P2" s="23" t="n">
        <v>0.8506</v>
      </c>
      <c r="Q2" s="11" t="inlineStr"/>
    </row>
    <row r="3">
      <c r="A3" s="24" t="n">
        <v>46104</v>
      </c>
      <c r="B3" s="13" t="n">
        <v>150</v>
      </c>
      <c r="C3" s="13" t="n">
        <v>135</v>
      </c>
      <c r="D3" s="25">
        <f>C3/B3</f>
        <v/>
      </c>
      <c r="E3" s="13" t="n">
        <v>2317</v>
      </c>
      <c r="F3" s="13" t="n">
        <v>2108</v>
      </c>
      <c r="G3" s="25">
        <f>1-(F3/E3)</f>
        <v/>
      </c>
      <c r="H3" s="13" t="n">
        <v>559</v>
      </c>
      <c r="I3" s="13" t="n">
        <v>47</v>
      </c>
      <c r="J3" s="25" t="n">
        <v>0.6966</v>
      </c>
      <c r="K3" s="25" t="n">
        <v>0.6631</v>
      </c>
      <c r="L3" s="15" t="n">
        <v>38</v>
      </c>
      <c r="M3" s="25" t="n">
        <v>0.7938</v>
      </c>
      <c r="N3" s="15" t="n">
        <v>16</v>
      </c>
      <c r="O3" s="15" t="n">
        <v>7</v>
      </c>
      <c r="P3" s="25" t="n">
        <v>0.8692</v>
      </c>
      <c r="Q3" s="15" t="inlineStr"/>
    </row>
    <row r="4">
      <c r="A4" s="22" t="n">
        <v>46105</v>
      </c>
      <c r="B4" s="9" t="n">
        <v>150</v>
      </c>
      <c r="C4" s="9" t="n">
        <v>132</v>
      </c>
      <c r="D4" s="23">
        <f>C4/B4</f>
        <v/>
      </c>
      <c r="E4" s="9" t="n">
        <v>1963</v>
      </c>
      <c r="F4" s="9" t="n">
        <v>1786</v>
      </c>
      <c r="G4" s="23">
        <f>1-(F4/E4)</f>
        <v/>
      </c>
      <c r="H4" s="9" t="n">
        <v>549</v>
      </c>
      <c r="I4" s="9" t="n">
        <v>47</v>
      </c>
      <c r="J4" s="23" t="n">
        <v>0.6822</v>
      </c>
      <c r="K4" s="23" t="n">
        <v>0.6783</v>
      </c>
      <c r="L4" s="11" t="n">
        <v>35</v>
      </c>
      <c r="M4" s="23" t="n">
        <v>0.7941</v>
      </c>
      <c r="N4" s="11" t="n">
        <v>15</v>
      </c>
      <c r="O4" s="11" t="n">
        <v>6</v>
      </c>
      <c r="P4" s="23" t="n">
        <v>0.8632</v>
      </c>
      <c r="Q4" s="11" t="inlineStr"/>
    </row>
    <row r="5">
      <c r="A5" s="24" t="n">
        <v>46106</v>
      </c>
      <c r="B5" s="13" t="n">
        <v>150</v>
      </c>
      <c r="C5" s="13" t="n">
        <v>138</v>
      </c>
      <c r="D5" s="25">
        <f>C5/B5</f>
        <v/>
      </c>
      <c r="E5" s="13" t="n">
        <v>2070</v>
      </c>
      <c r="F5" s="13" t="n">
        <v>1883</v>
      </c>
      <c r="G5" s="25">
        <f>1-(F5/E5)</f>
        <v/>
      </c>
      <c r="H5" s="13" t="n">
        <v>559</v>
      </c>
      <c r="I5" s="13" t="n">
        <v>49</v>
      </c>
      <c r="J5" s="25" t="n">
        <v>0.7054</v>
      </c>
      <c r="K5" s="25" t="n">
        <v>0.6839</v>
      </c>
      <c r="L5" s="15" t="n">
        <v>37</v>
      </c>
      <c r="M5" s="25" t="n">
        <v>0.7982</v>
      </c>
      <c r="N5" s="15" t="n">
        <v>14</v>
      </c>
      <c r="O5" s="15" t="n">
        <v>8</v>
      </c>
      <c r="P5" s="25" t="n">
        <v>0.8714</v>
      </c>
      <c r="Q5" s="15" t="inlineStr">
        <is>
          <t>New hire class started</t>
        </is>
      </c>
    </row>
    <row r="6">
      <c r="A6" s="22" t="n">
        <v>46107</v>
      </c>
      <c r="B6" s="9" t="n">
        <v>150</v>
      </c>
      <c r="C6" s="9" t="n">
        <v>147</v>
      </c>
      <c r="D6" s="23">
        <f>C6/B6</f>
        <v/>
      </c>
      <c r="E6" s="9" t="n">
        <v>2391</v>
      </c>
      <c r="F6" s="9" t="n">
        <v>2209</v>
      </c>
      <c r="G6" s="23">
        <f>1-(F6/E6)</f>
        <v/>
      </c>
      <c r="H6" s="9" t="n">
        <v>535</v>
      </c>
      <c r="I6" s="9" t="n">
        <v>41</v>
      </c>
      <c r="J6" s="23" t="n">
        <v>0.7185</v>
      </c>
      <c r="K6" s="23" t="n">
        <v>0.6808999999999999</v>
      </c>
      <c r="L6" s="11" t="n">
        <v>27</v>
      </c>
      <c r="M6" s="23" t="n">
        <v>0.8342000000000001</v>
      </c>
      <c r="N6" s="11" t="n">
        <v>11</v>
      </c>
      <c r="O6" s="11" t="n">
        <v>7</v>
      </c>
      <c r="P6" s="23" t="n">
        <v>0.8676</v>
      </c>
      <c r="Q6" s="11" t="inlineStr"/>
    </row>
    <row r="7">
      <c r="A7" s="24" t="n">
        <v>46108</v>
      </c>
      <c r="B7" s="13" t="n">
        <v>150</v>
      </c>
      <c r="C7" s="13" t="n">
        <v>143</v>
      </c>
      <c r="D7" s="25">
        <f>C7/B7</f>
        <v/>
      </c>
      <c r="E7" s="13" t="n">
        <v>2173</v>
      </c>
      <c r="F7" s="13" t="n">
        <v>2013</v>
      </c>
      <c r="G7" s="25">
        <f>1-(F7/E7)</f>
        <v/>
      </c>
      <c r="H7" s="13" t="n">
        <v>541</v>
      </c>
      <c r="I7" s="13" t="n">
        <v>43</v>
      </c>
      <c r="J7" s="25" t="n">
        <v>0.7268</v>
      </c>
      <c r="K7" s="25" t="n">
        <v>0.6831</v>
      </c>
      <c r="L7" s="15" t="n">
        <v>45</v>
      </c>
      <c r="M7" s="25" t="n">
        <v>0.8079</v>
      </c>
      <c r="N7" s="15" t="n">
        <v>12</v>
      </c>
      <c r="O7" s="15" t="n">
        <v>8</v>
      </c>
      <c r="P7" s="25" t="n">
        <v>0.8796</v>
      </c>
      <c r="Q7" s="15" t="inlineStr">
        <is>
          <t>System maintenance window</t>
        </is>
      </c>
    </row>
    <row r="8">
      <c r="A8" s="22" t="n">
        <v>46109</v>
      </c>
      <c r="B8" s="9" t="n">
        <v>150</v>
      </c>
      <c r="C8" s="9" t="n">
        <v>135</v>
      </c>
      <c r="D8" s="23">
        <f>C8/B8</f>
        <v/>
      </c>
      <c r="E8" s="9" t="n">
        <v>2188</v>
      </c>
      <c r="F8" s="9" t="n">
        <v>2027</v>
      </c>
      <c r="G8" s="23">
        <f>1-(F8/E8)</f>
        <v/>
      </c>
      <c r="H8" s="9" t="n">
        <v>556</v>
      </c>
      <c r="I8" s="9" t="n">
        <v>49</v>
      </c>
      <c r="J8" s="23" t="n">
        <v>0.7355</v>
      </c>
      <c r="K8" s="23" t="n">
        <v>0.6688</v>
      </c>
      <c r="L8" s="11" t="n">
        <v>35</v>
      </c>
      <c r="M8" s="23" t="n">
        <v>0.8437</v>
      </c>
      <c r="N8" s="11" t="n">
        <v>11</v>
      </c>
      <c r="O8" s="11" t="n">
        <v>5</v>
      </c>
      <c r="P8" s="23" t="n">
        <v>0.8844</v>
      </c>
      <c r="Q8" s="11" t="inlineStr"/>
    </row>
    <row r="9">
      <c r="A9" s="24" t="n">
        <v>46110</v>
      </c>
      <c r="B9" s="13" t="n">
        <v>150</v>
      </c>
      <c r="C9" s="13" t="n">
        <v>147</v>
      </c>
      <c r="D9" s="25">
        <f>C9/B9</f>
        <v/>
      </c>
      <c r="E9" s="13" t="n">
        <v>2210</v>
      </c>
      <c r="F9" s="13" t="n">
        <v>2052</v>
      </c>
      <c r="G9" s="25">
        <f>1-(F9/E9)</f>
        <v/>
      </c>
      <c r="H9" s="13" t="n">
        <v>530</v>
      </c>
      <c r="I9" s="13" t="n">
        <v>47</v>
      </c>
      <c r="J9" s="25" t="n">
        <v>0.7511</v>
      </c>
      <c r="K9" s="25" t="n">
        <v>0.6776</v>
      </c>
      <c r="L9" s="15" t="n">
        <v>45</v>
      </c>
      <c r="M9" s="25" t="n">
        <v>0.835</v>
      </c>
      <c r="N9" s="15" t="n">
        <v>13</v>
      </c>
      <c r="O9" s="15" t="n">
        <v>5</v>
      </c>
      <c r="P9" s="25" t="n">
        <v>0.8763</v>
      </c>
      <c r="Q9" s="15" t="inlineStr"/>
    </row>
    <row r="10">
      <c r="A10" s="22" t="n">
        <v>46111</v>
      </c>
      <c r="B10" s="9" t="n">
        <v>150</v>
      </c>
      <c r="C10" s="9" t="n">
        <v>136</v>
      </c>
      <c r="D10" s="23">
        <f>C10/B10</f>
        <v/>
      </c>
      <c r="E10" s="9" t="n">
        <v>2374</v>
      </c>
      <c r="F10" s="9" t="n">
        <v>2196</v>
      </c>
      <c r="G10" s="23">
        <f>1-(F10/E10)</f>
        <v/>
      </c>
      <c r="H10" s="9" t="n">
        <v>544</v>
      </c>
      <c r="I10" s="9" t="n">
        <v>46</v>
      </c>
      <c r="J10" s="23" t="n">
        <v>0.7411</v>
      </c>
      <c r="K10" s="23" t="n">
        <v>0.6933</v>
      </c>
      <c r="L10" s="11" t="n">
        <v>36</v>
      </c>
      <c r="M10" s="23" t="n">
        <v>0.8288</v>
      </c>
      <c r="N10" s="11" t="n">
        <v>11</v>
      </c>
      <c r="O10" s="11" t="n">
        <v>7</v>
      </c>
      <c r="P10" s="23" t="n">
        <v>0.8839</v>
      </c>
      <c r="Q10" s="11" t="inlineStr">
        <is>
          <t>Holiday staffing</t>
        </is>
      </c>
    </row>
    <row r="11">
      <c r="A11" s="24" t="n">
        <v>46112</v>
      </c>
      <c r="B11" s="13" t="n">
        <v>150</v>
      </c>
      <c r="C11" s="13" t="n">
        <v>146</v>
      </c>
      <c r="D11" s="25">
        <f>C11/B11</f>
        <v/>
      </c>
      <c r="E11" s="13" t="n">
        <v>1912</v>
      </c>
      <c r="F11" s="13" t="n">
        <v>1787</v>
      </c>
      <c r="G11" s="25">
        <f>1-(F11/E11)</f>
        <v/>
      </c>
      <c r="H11" s="13" t="n">
        <v>523</v>
      </c>
      <c r="I11" s="13" t="n">
        <v>46</v>
      </c>
      <c r="J11" s="25" t="n">
        <v>0.7489</v>
      </c>
      <c r="K11" s="25" t="n">
        <v>0.6775</v>
      </c>
      <c r="L11" s="15" t="n">
        <v>37</v>
      </c>
      <c r="M11" s="25" t="n">
        <v>0.8488</v>
      </c>
      <c r="N11" s="15" t="n">
        <v>13</v>
      </c>
      <c r="O11" s="15" t="n">
        <v>7</v>
      </c>
      <c r="P11" s="25" t="n">
        <v>0.882</v>
      </c>
      <c r="Q11" s="15" t="inlineStr"/>
    </row>
    <row r="12">
      <c r="A12" s="22" t="n">
        <v>46113</v>
      </c>
      <c r="B12" s="9" t="n">
        <v>150</v>
      </c>
      <c r="C12" s="9" t="n">
        <v>142</v>
      </c>
      <c r="D12" s="23">
        <f>C12/B12</f>
        <v/>
      </c>
      <c r="E12" s="9" t="n">
        <v>1811</v>
      </c>
      <c r="F12" s="9" t="n">
        <v>1677</v>
      </c>
      <c r="G12" s="23">
        <f>1-(F12/E12)</f>
        <v/>
      </c>
      <c r="H12" s="9" t="n">
        <v>518</v>
      </c>
      <c r="I12" s="9" t="n">
        <v>45</v>
      </c>
      <c r="J12" s="23" t="n">
        <v>0.7754</v>
      </c>
      <c r="K12" s="23" t="n">
        <v>0.71</v>
      </c>
      <c r="L12" s="11" t="n">
        <v>45</v>
      </c>
      <c r="M12" s="23" t="n">
        <v>0.8436</v>
      </c>
      <c r="N12" s="11" t="n">
        <v>12</v>
      </c>
      <c r="O12" s="11" t="n">
        <v>6</v>
      </c>
      <c r="P12" s="23" t="n">
        <v>0.8832</v>
      </c>
      <c r="Q12" s="11" t="inlineStr"/>
    </row>
    <row r="13">
      <c r="A13" s="24" t="n">
        <v>46114</v>
      </c>
      <c r="B13" s="13" t="n">
        <v>150</v>
      </c>
      <c r="C13" s="13" t="n">
        <v>132</v>
      </c>
      <c r="D13" s="25">
        <f>C13/B13</f>
        <v/>
      </c>
      <c r="E13" s="13" t="n">
        <v>2069</v>
      </c>
      <c r="F13" s="13" t="n">
        <v>1908</v>
      </c>
      <c r="G13" s="25">
        <f>1-(F13/E13)</f>
        <v/>
      </c>
      <c r="H13" s="13" t="n">
        <v>536</v>
      </c>
      <c r="I13" s="13" t="n">
        <v>36</v>
      </c>
      <c r="J13" s="25" t="n">
        <v>0.7683</v>
      </c>
      <c r="K13" s="25" t="n">
        <v>0.6893</v>
      </c>
      <c r="L13" s="15" t="n">
        <v>45</v>
      </c>
      <c r="M13" s="25" t="n">
        <v>0.8469</v>
      </c>
      <c r="N13" s="15" t="n">
        <v>13</v>
      </c>
      <c r="O13" s="15" t="n">
        <v>6</v>
      </c>
      <c r="P13" s="25" t="n">
        <v>0.887</v>
      </c>
      <c r="Q13" s="15" t="inlineStr"/>
    </row>
    <row r="14">
      <c r="A14" s="22" t="n">
        <v>46115</v>
      </c>
      <c r="B14" s="9" t="n">
        <v>150</v>
      </c>
      <c r="C14" s="9" t="n">
        <v>139</v>
      </c>
      <c r="D14" s="23">
        <f>C14/B14</f>
        <v/>
      </c>
      <c r="E14" s="9" t="n">
        <v>1965</v>
      </c>
      <c r="F14" s="9" t="n">
        <v>1833</v>
      </c>
      <c r="G14" s="23">
        <f>1-(F14/E14)</f>
        <v/>
      </c>
      <c r="H14" s="9" t="n">
        <v>533</v>
      </c>
      <c r="I14" s="9" t="n">
        <v>41</v>
      </c>
      <c r="J14" s="23" t="n">
        <v>0.7927</v>
      </c>
      <c r="K14" s="23" t="n">
        <v>0.714</v>
      </c>
      <c r="L14" s="11" t="n">
        <v>40</v>
      </c>
      <c r="M14" s="23" t="n">
        <v>0.8408</v>
      </c>
      <c r="N14" s="11" t="n">
        <v>11</v>
      </c>
      <c r="O14" s="11" t="n">
        <v>5</v>
      </c>
      <c r="P14" s="23" t="n">
        <v>0.8908</v>
      </c>
      <c r="Q14" s="11" t="inlineStr"/>
    </row>
    <row r="15">
      <c r="A15" s="24" t="n">
        <v>46116</v>
      </c>
      <c r="B15" s="13" t="n">
        <v>150</v>
      </c>
      <c r="C15" s="13" t="n">
        <v>136</v>
      </c>
      <c r="D15" s="25">
        <f>C15/B15</f>
        <v/>
      </c>
      <c r="E15" s="13" t="n">
        <v>2380</v>
      </c>
      <c r="F15" s="13" t="n">
        <v>2206</v>
      </c>
      <c r="G15" s="25">
        <f>1-(F15/E15)</f>
        <v/>
      </c>
      <c r="H15" s="13" t="n">
        <v>508</v>
      </c>
      <c r="I15" s="13" t="n">
        <v>39</v>
      </c>
      <c r="J15" s="25" t="n">
        <v>0.7966</v>
      </c>
      <c r="K15" s="25" t="n">
        <v>0.7341</v>
      </c>
      <c r="L15" s="15" t="n">
        <v>42</v>
      </c>
      <c r="M15" s="25" t="n">
        <v>0.8756</v>
      </c>
      <c r="N15" s="15" t="n">
        <v>10</v>
      </c>
      <c r="O15" s="15" t="n">
        <v>6</v>
      </c>
      <c r="P15" s="25" t="n">
        <v>0.8985</v>
      </c>
      <c r="Q15" s="15" t="inlineStr"/>
    </row>
    <row r="16">
      <c r="A16" s="22" t="n">
        <v>46117</v>
      </c>
      <c r="B16" s="9" t="n">
        <v>150</v>
      </c>
      <c r="C16" s="9" t="n">
        <v>142</v>
      </c>
      <c r="D16" s="23">
        <f>C16/B16</f>
        <v/>
      </c>
      <c r="E16" s="9" t="n">
        <v>2071</v>
      </c>
      <c r="F16" s="9" t="n">
        <v>1941</v>
      </c>
      <c r="G16" s="23">
        <f>1-(F16/E16)</f>
        <v/>
      </c>
      <c r="H16" s="9" t="n">
        <v>522</v>
      </c>
      <c r="I16" s="9" t="n">
        <v>37</v>
      </c>
      <c r="J16" s="23" t="n">
        <v>0.8106</v>
      </c>
      <c r="K16" s="23" t="n">
        <v>0.7372</v>
      </c>
      <c r="L16" s="11" t="n">
        <v>31</v>
      </c>
      <c r="M16" s="23" t="n">
        <v>0.8784999999999999</v>
      </c>
      <c r="N16" s="11" t="n">
        <v>11</v>
      </c>
      <c r="O16" s="11" t="n">
        <v>6</v>
      </c>
      <c r="P16" s="23" t="n">
        <v>0.905</v>
      </c>
      <c r="Q16" s="11" t="inlineStr">
        <is>
          <t>New hire class started</t>
        </is>
      </c>
    </row>
    <row r="17">
      <c r="A17" s="24" t="n">
        <v>46118</v>
      </c>
      <c r="B17" s="13" t="n">
        <v>150</v>
      </c>
      <c r="C17" s="13" t="n">
        <v>140</v>
      </c>
      <c r="D17" s="25">
        <f>C17/B17</f>
        <v/>
      </c>
      <c r="E17" s="13" t="n">
        <v>2329</v>
      </c>
      <c r="F17" s="13" t="n">
        <v>2191</v>
      </c>
      <c r="G17" s="25">
        <f>1-(F17/E17)</f>
        <v/>
      </c>
      <c r="H17" s="13" t="n">
        <v>507</v>
      </c>
      <c r="I17" s="13" t="n">
        <v>33</v>
      </c>
      <c r="J17" s="25" t="n">
        <v>0.7826</v>
      </c>
      <c r="K17" s="25" t="n">
        <v>0.7058</v>
      </c>
      <c r="L17" s="15" t="n">
        <v>42</v>
      </c>
      <c r="M17" s="25" t="n">
        <v>0.8642</v>
      </c>
      <c r="N17" s="15" t="n">
        <v>9</v>
      </c>
      <c r="O17" s="15" t="n">
        <v>4</v>
      </c>
      <c r="P17" s="25" t="n">
        <v>0.8964</v>
      </c>
      <c r="Q17" s="15" t="inlineStr"/>
    </row>
    <row r="18">
      <c r="A18" s="22" t="n">
        <v>46119</v>
      </c>
      <c r="B18" s="9" t="n">
        <v>150</v>
      </c>
      <c r="C18" s="9" t="n">
        <v>144</v>
      </c>
      <c r="D18" s="23">
        <f>C18/B18</f>
        <v/>
      </c>
      <c r="E18" s="9" t="n">
        <v>2034</v>
      </c>
      <c r="F18" s="9" t="n">
        <v>1933</v>
      </c>
      <c r="G18" s="23">
        <f>1-(F18/E18)</f>
        <v/>
      </c>
      <c r="H18" s="9" t="n">
        <v>498</v>
      </c>
      <c r="I18" s="9" t="n">
        <v>34</v>
      </c>
      <c r="J18" s="23" t="n">
        <v>0.7907999999999999</v>
      </c>
      <c r="K18" s="23" t="n">
        <v>0.7195</v>
      </c>
      <c r="L18" s="11" t="n">
        <v>40</v>
      </c>
      <c r="M18" s="23" t="n">
        <v>0.8686</v>
      </c>
      <c r="N18" s="11" t="n">
        <v>9</v>
      </c>
      <c r="O18" s="11" t="n">
        <v>5</v>
      </c>
      <c r="P18" s="23" t="n">
        <v>0.9167</v>
      </c>
      <c r="Q18" s="11" t="inlineStr">
        <is>
          <t>System maintenance window</t>
        </is>
      </c>
    </row>
    <row r="19">
      <c r="A19" s="24" t="n">
        <v>46120</v>
      </c>
      <c r="B19" s="13" t="n">
        <v>150</v>
      </c>
      <c r="C19" s="13" t="n">
        <v>143</v>
      </c>
      <c r="D19" s="25">
        <f>C19/B19</f>
        <v/>
      </c>
      <c r="E19" s="13" t="n">
        <v>2284</v>
      </c>
      <c r="F19" s="13" t="n">
        <v>2167</v>
      </c>
      <c r="G19" s="25">
        <f>1-(F19/E19)</f>
        <v/>
      </c>
      <c r="H19" s="13" t="n">
        <v>509</v>
      </c>
      <c r="I19" s="13" t="n">
        <v>34</v>
      </c>
      <c r="J19" s="25" t="n">
        <v>0.8036</v>
      </c>
      <c r="K19" s="25" t="n">
        <v>0.7189</v>
      </c>
      <c r="L19" s="15" t="n">
        <v>38</v>
      </c>
      <c r="M19" s="25" t="n">
        <v>0.8792</v>
      </c>
      <c r="N19" s="15" t="n">
        <v>10</v>
      </c>
      <c r="O19" s="15" t="n">
        <v>4</v>
      </c>
      <c r="P19" s="25" t="n">
        <v>0.9183</v>
      </c>
      <c r="Q19" s="15" t="inlineStr"/>
    </row>
    <row r="20">
      <c r="A20" s="22" t="n">
        <v>46121</v>
      </c>
      <c r="B20" s="9" t="n">
        <v>150</v>
      </c>
      <c r="C20" s="9" t="n">
        <v>133</v>
      </c>
      <c r="D20" s="23">
        <f>C20/B20</f>
        <v/>
      </c>
      <c r="E20" s="9" t="n">
        <v>1900</v>
      </c>
      <c r="F20" s="9" t="n">
        <v>1814</v>
      </c>
      <c r="G20" s="23">
        <f>1-(F20/E20)</f>
        <v/>
      </c>
      <c r="H20" s="9" t="n">
        <v>514</v>
      </c>
      <c r="I20" s="9" t="n">
        <v>32</v>
      </c>
      <c r="J20" s="23" t="n">
        <v>0.836</v>
      </c>
      <c r="K20" s="23" t="n">
        <v>0.7244</v>
      </c>
      <c r="L20" s="11" t="n">
        <v>31</v>
      </c>
      <c r="M20" s="23" t="n">
        <v>0.8776</v>
      </c>
      <c r="N20" s="11" t="n">
        <v>10</v>
      </c>
      <c r="O20" s="11" t="n">
        <v>3</v>
      </c>
      <c r="P20" s="23" t="n">
        <v>0.9124</v>
      </c>
      <c r="Q20" s="11" t="inlineStr"/>
    </row>
    <row r="21">
      <c r="A21" s="24" t="n">
        <v>46122</v>
      </c>
      <c r="B21" s="13" t="n">
        <v>150</v>
      </c>
      <c r="C21" s="13" t="n">
        <v>137</v>
      </c>
      <c r="D21" s="25">
        <f>C21/B21</f>
        <v/>
      </c>
      <c r="E21" s="13" t="n">
        <v>2055</v>
      </c>
      <c r="F21" s="13" t="n">
        <v>1932</v>
      </c>
      <c r="G21" s="25">
        <f>1-(F21/E21)</f>
        <v/>
      </c>
      <c r="H21" s="13" t="n">
        <v>490</v>
      </c>
      <c r="I21" s="13" t="n">
        <v>33</v>
      </c>
      <c r="J21" s="25" t="n">
        <v>0.8443000000000001</v>
      </c>
      <c r="K21" s="25" t="n">
        <v>0.7592</v>
      </c>
      <c r="L21" s="15" t="n">
        <v>28</v>
      </c>
      <c r="M21" s="25" t="n">
        <v>0.877</v>
      </c>
      <c r="N21" s="15" t="n">
        <v>11</v>
      </c>
      <c r="O21" s="15" t="n">
        <v>3</v>
      </c>
      <c r="P21" s="25" t="n">
        <v>0.9264</v>
      </c>
      <c r="Q21" s="15" t="inlineStr">
        <is>
          <t>Holiday staffing</t>
        </is>
      </c>
    </row>
    <row r="22">
      <c r="A22" s="22" t="n">
        <v>46123</v>
      </c>
      <c r="B22" s="9" t="n">
        <v>150</v>
      </c>
      <c r="C22" s="9" t="n">
        <v>150</v>
      </c>
      <c r="D22" s="23">
        <f>C22/B22</f>
        <v/>
      </c>
      <c r="E22" s="9" t="n">
        <v>2042</v>
      </c>
      <c r="F22" s="9" t="n">
        <v>1953</v>
      </c>
      <c r="G22" s="23">
        <f>1-(F22/E22)</f>
        <v/>
      </c>
      <c r="H22" s="9" t="n">
        <v>500</v>
      </c>
      <c r="I22" s="9" t="n">
        <v>32</v>
      </c>
      <c r="J22" s="23" t="n">
        <v>0.8285</v>
      </c>
      <c r="K22" s="23" t="n">
        <v>0.746</v>
      </c>
      <c r="L22" s="11" t="n">
        <v>26</v>
      </c>
      <c r="M22" s="23" t="n">
        <v>0.8866000000000001</v>
      </c>
      <c r="N22" s="11" t="n">
        <v>7</v>
      </c>
      <c r="O22" s="11" t="n">
        <v>4</v>
      </c>
      <c r="P22" s="23" t="n">
        <v>0.9153</v>
      </c>
      <c r="Q22" s="11" t="inlineStr"/>
    </row>
    <row r="23">
      <c r="A23" s="24" t="n">
        <v>46124</v>
      </c>
      <c r="B23" s="13" t="n">
        <v>150</v>
      </c>
      <c r="C23" s="13" t="n">
        <v>148</v>
      </c>
      <c r="D23" s="25">
        <f>C23/B23</f>
        <v/>
      </c>
      <c r="E23" s="13" t="n">
        <v>2265</v>
      </c>
      <c r="F23" s="13" t="n">
        <v>2166</v>
      </c>
      <c r="G23" s="25">
        <f>1-(F23/E23)</f>
        <v/>
      </c>
      <c r="H23" s="13" t="n">
        <v>504</v>
      </c>
      <c r="I23" s="13" t="n">
        <v>32</v>
      </c>
      <c r="J23" s="25" t="n">
        <v>0.8545</v>
      </c>
      <c r="K23" s="25" t="n">
        <v>0.7544999999999999</v>
      </c>
      <c r="L23" s="15" t="n">
        <v>31</v>
      </c>
      <c r="M23" s="25" t="n">
        <v>0.8969</v>
      </c>
      <c r="N23" s="15" t="n">
        <v>6</v>
      </c>
      <c r="O23" s="15" t="n">
        <v>4</v>
      </c>
      <c r="P23" s="25" t="n">
        <v>0.9277</v>
      </c>
      <c r="Q23" s="15" t="inlineStr"/>
    </row>
    <row r="24">
      <c r="A24" s="22" t="n">
        <v>46125</v>
      </c>
      <c r="B24" s="9" t="n">
        <v>150</v>
      </c>
      <c r="C24" s="9" t="n">
        <v>133</v>
      </c>
      <c r="D24" s="23">
        <f>C24/B24</f>
        <v/>
      </c>
      <c r="E24" s="9" t="n">
        <v>2121</v>
      </c>
      <c r="F24" s="9" t="n">
        <v>2042</v>
      </c>
      <c r="G24" s="23">
        <f>1-(F24/E24)</f>
        <v/>
      </c>
      <c r="H24" s="9" t="n">
        <v>497</v>
      </c>
      <c r="I24" s="9" t="n">
        <v>30</v>
      </c>
      <c r="J24" s="23" t="n">
        <v>0.8561</v>
      </c>
      <c r="K24" s="23" t="n">
        <v>0.7741</v>
      </c>
      <c r="L24" s="11" t="n">
        <v>30</v>
      </c>
      <c r="M24" s="23" t="n">
        <v>0.8923</v>
      </c>
      <c r="N24" s="11" t="n">
        <v>10</v>
      </c>
      <c r="O24" s="11" t="n">
        <v>2</v>
      </c>
      <c r="P24" s="23" t="n">
        <v>0.9330000000000001</v>
      </c>
      <c r="Q24" s="11" t="inlineStr"/>
    </row>
    <row r="25">
      <c r="A25" s="24" t="n">
        <v>46126</v>
      </c>
      <c r="B25" s="13" t="n">
        <v>150</v>
      </c>
      <c r="C25" s="13" t="n">
        <v>133</v>
      </c>
      <c r="D25" s="25">
        <f>C25/B25</f>
        <v/>
      </c>
      <c r="E25" s="13" t="n">
        <v>1869</v>
      </c>
      <c r="F25" s="13" t="n">
        <v>1780</v>
      </c>
      <c r="G25" s="25">
        <f>1-(F25/E25)</f>
        <v/>
      </c>
      <c r="H25" s="13" t="n">
        <v>483</v>
      </c>
      <c r="I25" s="13" t="n">
        <v>28</v>
      </c>
      <c r="J25" s="25" t="n">
        <v>0.8488</v>
      </c>
      <c r="K25" s="25" t="n">
        <v>0.7806</v>
      </c>
      <c r="L25" s="15" t="n">
        <v>32</v>
      </c>
      <c r="M25" s="25" t="n">
        <v>0.9182</v>
      </c>
      <c r="N25" s="15" t="n">
        <v>6</v>
      </c>
      <c r="O25" s="15" t="n">
        <v>4</v>
      </c>
      <c r="P25" s="25" t="n">
        <v>0.9206</v>
      </c>
      <c r="Q25" s="15" t="inlineStr"/>
    </row>
    <row r="26">
      <c r="A26" s="22" t="n">
        <v>46127</v>
      </c>
      <c r="B26" s="9" t="n">
        <v>150</v>
      </c>
      <c r="C26" s="9" t="n">
        <v>145</v>
      </c>
      <c r="D26" s="23">
        <f>C26/B26</f>
        <v/>
      </c>
      <c r="E26" s="9" t="n">
        <v>2378</v>
      </c>
      <c r="F26" s="9" t="n">
        <v>2277</v>
      </c>
      <c r="G26" s="23">
        <f>1-(F26/E26)</f>
        <v/>
      </c>
      <c r="H26" s="9" t="n">
        <v>502</v>
      </c>
      <c r="I26" s="9" t="n">
        <v>25</v>
      </c>
      <c r="J26" s="23" t="n">
        <v>0.8602</v>
      </c>
      <c r="K26" s="23" t="n">
        <v>0.7786</v>
      </c>
      <c r="L26" s="11" t="n">
        <v>32</v>
      </c>
      <c r="M26" s="23" t="n">
        <v>0.9106</v>
      </c>
      <c r="N26" s="11" t="n">
        <v>6</v>
      </c>
      <c r="O26" s="11" t="n">
        <v>4</v>
      </c>
      <c r="P26" s="23" t="n">
        <v>0.9349</v>
      </c>
      <c r="Q26" s="11" t="inlineStr"/>
    </row>
    <row r="27">
      <c r="A27" s="24" t="n">
        <v>46128</v>
      </c>
      <c r="B27" s="13" t="n">
        <v>150</v>
      </c>
      <c r="C27" s="13" t="n">
        <v>141</v>
      </c>
      <c r="D27" s="25">
        <f>C27/B27</f>
        <v/>
      </c>
      <c r="E27" s="13" t="n">
        <v>1874</v>
      </c>
      <c r="F27" s="13" t="n">
        <v>1817</v>
      </c>
      <c r="G27" s="25">
        <f>1-(F27/E27)</f>
        <v/>
      </c>
      <c r="H27" s="13" t="n">
        <v>489</v>
      </c>
      <c r="I27" s="13" t="n">
        <v>29</v>
      </c>
      <c r="J27" s="25" t="n">
        <v>0.8998</v>
      </c>
      <c r="K27" s="25" t="n">
        <v>0.7579</v>
      </c>
      <c r="L27" s="15" t="n">
        <v>31</v>
      </c>
      <c r="M27" s="25" t="n">
        <v>0.9252</v>
      </c>
      <c r="N27" s="15" t="n">
        <v>6</v>
      </c>
      <c r="O27" s="15" t="n">
        <v>3</v>
      </c>
      <c r="P27" s="25" t="n">
        <v>0.9426</v>
      </c>
      <c r="Q27" s="15" t="inlineStr">
        <is>
          <t>New hire class started</t>
        </is>
      </c>
    </row>
    <row r="28">
      <c r="A28" s="22" t="n">
        <v>46129</v>
      </c>
      <c r="B28" s="9" t="n">
        <v>150</v>
      </c>
      <c r="C28" s="9" t="n">
        <v>150</v>
      </c>
      <c r="D28" s="23">
        <f>C28/B28</f>
        <v/>
      </c>
      <c r="E28" s="9" t="n">
        <v>2178</v>
      </c>
      <c r="F28" s="9" t="n">
        <v>2104</v>
      </c>
      <c r="G28" s="23">
        <f>1-(F28/E28)</f>
        <v/>
      </c>
      <c r="H28" s="9" t="n">
        <v>481</v>
      </c>
      <c r="I28" s="9" t="n">
        <v>27</v>
      </c>
      <c r="J28" s="23" t="n">
        <v>0.8961</v>
      </c>
      <c r="K28" s="23" t="n">
        <v>0.7845</v>
      </c>
      <c r="L28" s="11" t="n">
        <v>45</v>
      </c>
      <c r="M28" s="23" t="n">
        <v>0.9312</v>
      </c>
      <c r="N28" s="11" t="n">
        <v>9</v>
      </c>
      <c r="O28" s="11" t="n">
        <v>2</v>
      </c>
      <c r="P28" s="23" t="n">
        <v>0.9466</v>
      </c>
      <c r="Q28" s="11" t="inlineStr"/>
    </row>
    <row r="29">
      <c r="A29" s="24" t="n">
        <v>46130</v>
      </c>
      <c r="B29" s="13" t="n">
        <v>150</v>
      </c>
      <c r="C29" s="13" t="n">
        <v>134</v>
      </c>
      <c r="D29" s="25">
        <f>C29/B29</f>
        <v/>
      </c>
      <c r="E29" s="13" t="n">
        <v>1937</v>
      </c>
      <c r="F29" s="13" t="n">
        <v>1876</v>
      </c>
      <c r="G29" s="25">
        <f>1-(F29/E29)</f>
        <v/>
      </c>
      <c r="H29" s="13" t="n">
        <v>492</v>
      </c>
      <c r="I29" s="13" t="n">
        <v>19</v>
      </c>
      <c r="J29" s="25" t="n">
        <v>0.9056999999999999</v>
      </c>
      <c r="K29" s="25" t="n">
        <v>0.7712</v>
      </c>
      <c r="L29" s="15" t="n">
        <v>34</v>
      </c>
      <c r="M29" s="25" t="n">
        <v>0.9392</v>
      </c>
      <c r="N29" s="15" t="n">
        <v>6</v>
      </c>
      <c r="O29" s="15" t="n">
        <v>1</v>
      </c>
      <c r="P29" s="25" t="n">
        <v>0.9447</v>
      </c>
      <c r="Q29" s="15" t="inlineStr">
        <is>
          <t>System maintenance window</t>
        </is>
      </c>
    </row>
    <row r="30">
      <c r="A30" s="22" t="n">
        <v>46131</v>
      </c>
      <c r="B30" s="9" t="n">
        <v>150</v>
      </c>
      <c r="C30" s="9" t="n">
        <v>149</v>
      </c>
      <c r="D30" s="23">
        <f>C30/B30</f>
        <v/>
      </c>
      <c r="E30" s="9" t="n">
        <v>2317</v>
      </c>
      <c r="F30" s="9" t="n">
        <v>2238</v>
      </c>
      <c r="G30" s="23">
        <f>1-(F30/E30)</f>
        <v/>
      </c>
      <c r="H30" s="9" t="n">
        <v>489</v>
      </c>
      <c r="I30" s="9" t="n">
        <v>17</v>
      </c>
      <c r="J30" s="23" t="n">
        <v>0.8877</v>
      </c>
      <c r="K30" s="23" t="n">
        <v>0.7869</v>
      </c>
      <c r="L30" s="11" t="n">
        <v>33</v>
      </c>
      <c r="M30" s="23" t="n">
        <v>0.9218</v>
      </c>
      <c r="N30" s="11" t="n">
        <v>6</v>
      </c>
      <c r="O30" s="11" t="n">
        <v>1</v>
      </c>
      <c r="P30" s="23" t="n">
        <v>0.9467</v>
      </c>
      <c r="Q30" s="11" t="inlineStr"/>
    </row>
    <row r="31">
      <c r="A31" s="24" t="n">
        <v>46132</v>
      </c>
      <c r="B31" s="13" t="n">
        <v>150</v>
      </c>
      <c r="C31" s="13" t="n">
        <v>137</v>
      </c>
      <c r="D31" s="25">
        <f>C31/B31</f>
        <v/>
      </c>
      <c r="E31" s="13" t="n">
        <v>2252</v>
      </c>
      <c r="F31" s="13" t="n">
        <v>2177</v>
      </c>
      <c r="G31" s="25">
        <f>1-(F31/E31)</f>
        <v/>
      </c>
      <c r="H31" s="13" t="n">
        <v>471</v>
      </c>
      <c r="I31" s="13" t="n">
        <v>24</v>
      </c>
      <c r="J31" s="25" t="n">
        <v>0.8924</v>
      </c>
      <c r="K31" s="25" t="n">
        <v>0.778</v>
      </c>
      <c r="L31" s="15" t="n">
        <v>29</v>
      </c>
      <c r="M31" s="25" t="n">
        <v>0.9468</v>
      </c>
      <c r="N31" s="15" t="n">
        <v>6</v>
      </c>
      <c r="O31" s="15" t="n">
        <v>3</v>
      </c>
      <c r="P31" s="25" t="n">
        <v>0.9481000000000001</v>
      </c>
      <c r="Q31" s="15" t="inlineStr"/>
    </row>
    <row r="32"/>
    <row r="33">
      <c r="A33" s="16" t="inlineStr">
        <is>
          <t>MTD Average</t>
        </is>
      </c>
      <c r="B33" s="16">
        <f>AVERAGE(B2:B31)</f>
        <v/>
      </c>
      <c r="C33" s="16">
        <f>AVERAGE(C2:C31)</f>
        <v/>
      </c>
      <c r="D33" s="26">
        <f>AVERAGE(D2:D31)</f>
        <v/>
      </c>
      <c r="E33" s="16">
        <f>SUM(E2:E31)</f>
        <v/>
      </c>
      <c r="F33" s="16">
        <f>SUM(F2:F31)</f>
        <v/>
      </c>
      <c r="G33" s="26">
        <f>AVERAGE(G2:G31)</f>
        <v/>
      </c>
      <c r="H33" s="18">
        <f>AVERAGE(H2:H31)</f>
        <v/>
      </c>
      <c r="I33" s="18">
        <f>AVERAGE(I2:I31)</f>
        <v/>
      </c>
      <c r="J33" s="26">
        <f>AVERAGE(J2:J31)</f>
        <v/>
      </c>
      <c r="K33" s="26">
        <f>AVERAGE(K2:K31)</f>
        <v/>
      </c>
      <c r="L33" s="16">
        <f>SUM(L2:L31)</f>
        <v/>
      </c>
      <c r="M33" s="26">
        <f>AVERAGE(M2:M31)</f>
        <v/>
      </c>
      <c r="N33" s="16">
        <f>SUM(N2:N31)</f>
        <v/>
      </c>
      <c r="O33" s="16">
        <f>SUM(O2:O31)</f>
        <v/>
      </c>
      <c r="P33" s="26">
        <f>AVERAGE(P2:P31)</f>
        <v/>
      </c>
      <c r="Q33" s="16" t="n"/>
    </row>
    <row r="34">
      <c r="A34" s="82" t="inlineStr">
        <is>
          <t>Targets &amp; Thresholds</t>
        </is>
      </c>
      <c r="B34" s="55" t="n"/>
      <c r="C34" s="55" t="n"/>
    </row>
    <row r="35">
      <c r="A35" s="38" t="inlineStr">
        <is>
          <t>Metric</t>
        </is>
      </c>
      <c r="B35" s="38" t="inlineStr">
        <is>
          <t>Target</t>
        </is>
      </c>
      <c r="C35" s="38" t="inlineStr">
        <is>
          <t>Minimum</t>
        </is>
      </c>
    </row>
    <row r="36">
      <c r="A36" s="15" t="inlineStr">
        <is>
          <t>Staffing %</t>
        </is>
      </c>
      <c r="B36" s="83" t="n">
        <v>1</v>
      </c>
      <c r="C36" s="83" t="n">
        <v>0.95</v>
      </c>
    </row>
    <row r="37">
      <c r="A37" s="15" t="inlineStr">
        <is>
          <t>Abandonment Rate</t>
        </is>
      </c>
      <c r="B37" s="83" t="n">
        <v>0.05</v>
      </c>
      <c r="C37" s="83" t="n">
        <v>0.08</v>
      </c>
    </row>
    <row r="38">
      <c r="A38" s="15" t="inlineStr">
        <is>
          <t>Avg Handle Time (sec)</t>
        </is>
      </c>
      <c r="B38" s="15" t="n">
        <v>480</v>
      </c>
      <c r="C38" s="15" t="n">
        <v>540</v>
      </c>
    </row>
    <row r="39">
      <c r="A39" s="15" t="inlineStr">
        <is>
          <t>Avg Speed of Answer (sec)</t>
        </is>
      </c>
      <c r="B39" s="15" t="n">
        <v>30</v>
      </c>
      <c r="C39" s="15" t="n">
        <v>45</v>
      </c>
    </row>
    <row r="40">
      <c r="A40" s="15" t="inlineStr">
        <is>
          <t>Service Level %</t>
        </is>
      </c>
      <c r="B40" s="83" t="n">
        <v>0.8</v>
      </c>
      <c r="C40" s="83" t="n">
        <v>0.75</v>
      </c>
    </row>
    <row r="41">
      <c r="A41" s="15" t="inlineStr">
        <is>
          <t>First Call Resolution %</t>
        </is>
      </c>
      <c r="B41" s="83" t="n">
        <v>0.75</v>
      </c>
      <c r="C41" s="83" t="n">
        <v>0.7</v>
      </c>
    </row>
    <row r="42">
      <c r="A42" s="15" t="inlineStr">
        <is>
          <t>QA Pass Rate %</t>
        </is>
      </c>
      <c r="B42" s="83" t="n">
        <v>0.9</v>
      </c>
      <c r="C42" s="83" t="n">
        <v>0.85</v>
      </c>
    </row>
    <row r="43">
      <c r="A43" s="15" t="inlineStr">
        <is>
          <t>Schedule Adherence %</t>
        </is>
      </c>
      <c r="B43" s="83" t="n">
        <v>0.92</v>
      </c>
      <c r="C43" s="83" t="n">
        <v>0.88</v>
      </c>
    </row>
  </sheetData>
  <mergeCells count="1">
    <mergeCell ref="A34:C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2" customWidth="1" min="4" max="4"/>
    <col width="14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22" customWidth="1" min="11" max="11"/>
    <col width="20" customWidth="1" min="12" max="12"/>
    <col width="40" customWidth="1" min="13" max="13"/>
    <col width="40" customWidth="1" min="14" max="14"/>
  </cols>
  <sheetData>
    <row r="1" ht="40" customHeight="1">
      <c r="A1" s="1" t="inlineStr">
        <is>
          <t>Week Number</t>
        </is>
      </c>
      <c r="B1" s="1" t="inlineStr">
        <is>
          <t>Week Start</t>
        </is>
      </c>
      <c r="C1" s="1" t="inlineStr">
        <is>
          <t>Week End</t>
        </is>
      </c>
      <c r="D1" s="1" t="inlineStr">
        <is>
          <t>Avg Staffing Compliance %</t>
        </is>
      </c>
      <c r="E1" s="1" t="inlineStr">
        <is>
          <t>Avg AHT (sec)</t>
        </is>
      </c>
      <c r="F1" s="1" t="inlineStr">
        <is>
          <t>Avg Service Level %</t>
        </is>
      </c>
      <c r="G1" s="1" t="inlineStr">
        <is>
          <t>Avg FCR %</t>
        </is>
      </c>
      <c r="H1" s="1" t="inlineStr">
        <is>
          <t>Avg QA Score %</t>
        </is>
      </c>
      <c r="I1" s="1" t="inlineStr">
        <is>
          <t>Total Escalations</t>
        </is>
      </c>
      <c r="J1" s="1" t="inlineStr">
        <is>
          <t>Total Complaints</t>
        </is>
      </c>
      <c r="K1" s="1" t="inlineStr">
        <is>
          <t>Avg Schedule Adherence %</t>
        </is>
      </c>
      <c r="L1" s="1" t="inlineStr">
        <is>
          <t>Week-over-Week Trend</t>
        </is>
      </c>
      <c r="M1" s="1" t="inlineStr">
        <is>
          <t>Key Highlights</t>
        </is>
      </c>
      <c r="N1" s="1" t="inlineStr">
        <is>
          <t>Action Items</t>
        </is>
      </c>
    </row>
    <row r="2">
      <c r="A2" s="27" t="n">
        <v>1</v>
      </c>
      <c r="B2" s="22" t="n">
        <v>46076</v>
      </c>
      <c r="C2" s="22" t="n">
        <v>46082</v>
      </c>
      <c r="D2" s="23" t="n">
        <v>0.882</v>
      </c>
      <c r="E2" s="9" t="n">
        <v>558</v>
      </c>
      <c r="F2" s="23" t="n">
        <v>0.6850000000000001</v>
      </c>
      <c r="G2" s="23" t="n">
        <v>0.662</v>
      </c>
      <c r="H2" s="23" t="n">
        <v>0.8120000000000001</v>
      </c>
      <c r="I2" s="27" t="n">
        <v>18</v>
      </c>
      <c r="J2" s="27" t="n">
        <v>10</v>
      </c>
      <c r="K2" s="23" t="n">
        <v>0.865</v>
      </c>
      <c r="L2" s="15" t="inlineStr">
        <is>
          <t>Baseline</t>
        </is>
      </c>
      <c r="M2" s="28" t="inlineStr">
        <is>
          <t>Initial surge class onboarded (25 FTEs)</t>
        </is>
      </c>
      <c r="N2" s="28" t="inlineStr">
        <is>
          <t>Accelerate nesting period; assign mentors</t>
        </is>
      </c>
    </row>
    <row r="3">
      <c r="A3" s="29" t="n">
        <v>2</v>
      </c>
      <c r="B3" s="24" t="n">
        <v>46083</v>
      </c>
      <c r="C3" s="24" t="n">
        <v>46089</v>
      </c>
      <c r="D3" s="25" t="n">
        <v>0.901</v>
      </c>
      <c r="E3" s="13" t="n">
        <v>542</v>
      </c>
      <c r="F3" s="25" t="n">
        <v>0.712</v>
      </c>
      <c r="G3" s="25" t="n">
        <v>0.6850000000000001</v>
      </c>
      <c r="H3" s="25" t="n">
        <v>0.835</v>
      </c>
      <c r="I3" s="29" t="n">
        <v>16</v>
      </c>
      <c r="J3" s="29" t="n">
        <v>9</v>
      </c>
      <c r="K3" s="25" t="n">
        <v>0.878</v>
      </c>
      <c r="L3" s="30" t="inlineStr">
        <is>
          <t>Improving</t>
        </is>
      </c>
      <c r="M3" s="31" t="inlineStr">
        <is>
          <t>Second surge class started; QA calibration complete</t>
        </is>
      </c>
      <c r="N3" s="31" t="inlineStr">
        <is>
          <t>Focus on AHT coaching for new hires</t>
        </is>
      </c>
    </row>
    <row r="4">
      <c r="A4" s="27" t="n">
        <v>3</v>
      </c>
      <c r="B4" s="22" t="n">
        <v>46090</v>
      </c>
      <c r="C4" s="22" t="n">
        <v>46096</v>
      </c>
      <c r="D4" s="23" t="n">
        <v>0.918</v>
      </c>
      <c r="E4" s="9" t="n">
        <v>521</v>
      </c>
      <c r="F4" s="23" t="n">
        <v>0.738</v>
      </c>
      <c r="G4" s="23" t="n">
        <v>0.71</v>
      </c>
      <c r="H4" s="23" t="n">
        <v>0.858</v>
      </c>
      <c r="I4" s="27" t="n">
        <v>14</v>
      </c>
      <c r="J4" s="27" t="n">
        <v>7</v>
      </c>
      <c r="K4" s="23" t="n">
        <v>0.892</v>
      </c>
      <c r="L4" s="30" t="inlineStr">
        <is>
          <t>Improving</t>
        </is>
      </c>
      <c r="M4" s="28" t="inlineStr">
        <is>
          <t>New hires completing nesting; FCR improving</t>
        </is>
      </c>
      <c r="N4" s="28" t="inlineStr">
        <is>
          <t>Implement targeted QA feedback loops</t>
        </is>
      </c>
    </row>
    <row r="5">
      <c r="A5" s="29" t="n">
        <v>4</v>
      </c>
      <c r="B5" s="24" t="n">
        <v>46097</v>
      </c>
      <c r="C5" s="24" t="n">
        <v>46103</v>
      </c>
      <c r="D5" s="25" t="n">
        <v>0.9350000000000001</v>
      </c>
      <c r="E5" s="13" t="n">
        <v>505</v>
      </c>
      <c r="F5" s="25" t="n">
        <v>0.762</v>
      </c>
      <c r="G5" s="25" t="n">
        <v>0.732</v>
      </c>
      <c r="H5" s="25" t="n">
        <v>0.875</v>
      </c>
      <c r="I5" s="29" t="n">
        <v>12</v>
      </c>
      <c r="J5" s="29" t="n">
        <v>6</v>
      </c>
      <c r="K5" s="25" t="n">
        <v>0.905</v>
      </c>
      <c r="L5" s="30" t="inlineStr">
        <is>
          <t>Improving</t>
        </is>
      </c>
      <c r="M5" s="31" t="inlineStr">
        <is>
          <t>Third surge class onboarded; blended metrics rising</t>
        </is>
      </c>
      <c r="N5" s="31" t="inlineStr">
        <is>
          <t>Continue skills training; monitor attrition</t>
        </is>
      </c>
    </row>
    <row r="6">
      <c r="A6" s="27" t="n">
        <v>5</v>
      </c>
      <c r="B6" s="22" t="n">
        <v>46104</v>
      </c>
      <c r="C6" s="22" t="n">
        <v>46110</v>
      </c>
      <c r="D6" s="23" t="n">
        <v>0.948</v>
      </c>
      <c r="E6" s="9" t="n">
        <v>488</v>
      </c>
      <c r="F6" s="23" t="n">
        <v>0.785</v>
      </c>
      <c r="G6" s="23" t="n">
        <v>0.755</v>
      </c>
      <c r="H6" s="23" t="n">
        <v>0.892</v>
      </c>
      <c r="I6" s="27" t="n">
        <v>10</v>
      </c>
      <c r="J6" s="27" t="n">
        <v>5</v>
      </c>
      <c r="K6" s="23" t="n">
        <v>0.918</v>
      </c>
      <c r="L6" s="30" t="inlineStr">
        <is>
          <t>Improving</t>
        </is>
      </c>
      <c r="M6" s="28" t="inlineStr">
        <is>
          <t>Staffing nearing compliance; AHT on target trajectory</t>
        </is>
      </c>
      <c r="N6" s="28" t="inlineStr">
        <is>
          <t>Prepare for full staffing validation</t>
        </is>
      </c>
    </row>
    <row r="7">
      <c r="A7" s="29" t="n">
        <v>6</v>
      </c>
      <c r="B7" s="24" t="n">
        <v>46111</v>
      </c>
      <c r="C7" s="24" t="n">
        <v>46117</v>
      </c>
      <c r="D7" s="25" t="n">
        <v>0.962</v>
      </c>
      <c r="E7" s="13" t="n">
        <v>475</v>
      </c>
      <c r="F7" s="25" t="n">
        <v>0.8080000000000001</v>
      </c>
      <c r="G7" s="25" t="n">
        <v>0.772</v>
      </c>
      <c r="H7" s="25" t="n">
        <v>0.908</v>
      </c>
      <c r="I7" s="29" t="n">
        <v>8</v>
      </c>
      <c r="J7" s="29" t="n">
        <v>4</v>
      </c>
      <c r="K7" s="25" t="n">
        <v>0.928</v>
      </c>
      <c r="L7" s="30" t="inlineStr">
        <is>
          <t>Improving</t>
        </is>
      </c>
      <c r="M7" s="31" t="inlineStr">
        <is>
          <t>Service level approaching target; quality scores up</t>
        </is>
      </c>
      <c r="N7" s="31" t="inlineStr">
        <is>
          <t>Address remaining outlier agents</t>
        </is>
      </c>
    </row>
    <row r="8">
      <c r="A8" s="27" t="n">
        <v>7</v>
      </c>
      <c r="B8" s="22" t="n">
        <v>46118</v>
      </c>
      <c r="C8" s="22" t="n">
        <v>46124</v>
      </c>
      <c r="D8" s="23" t="n">
        <v>0.975</v>
      </c>
      <c r="E8" s="9" t="n">
        <v>465</v>
      </c>
      <c r="F8" s="23" t="n">
        <v>0.825</v>
      </c>
      <c r="G8" s="23" t="n">
        <v>0.788</v>
      </c>
      <c r="H8" s="23" t="n">
        <v>0.918</v>
      </c>
      <c r="I8" s="27" t="n">
        <v>7</v>
      </c>
      <c r="J8" s="27" t="n">
        <v>3</v>
      </c>
      <c r="K8" s="23" t="n">
        <v>0.9350000000000001</v>
      </c>
      <c r="L8" s="30" t="inlineStr">
        <is>
          <t>Improving</t>
        </is>
      </c>
      <c r="M8" s="28" t="inlineStr">
        <is>
          <t>All KPIs trending toward targets</t>
        </is>
      </c>
      <c r="N8" s="28" t="inlineStr">
        <is>
          <t>Begin incentive tier tracking</t>
        </is>
      </c>
    </row>
    <row r="9">
      <c r="A9" s="29" t="n">
        <v>8</v>
      </c>
      <c r="B9" s="24" t="n">
        <v>46125</v>
      </c>
      <c r="C9" s="24" t="n">
        <v>46131</v>
      </c>
      <c r="D9" s="25" t="n">
        <v>0.988</v>
      </c>
      <c r="E9" s="13" t="n">
        <v>458</v>
      </c>
      <c r="F9" s="25" t="n">
        <v>0.842</v>
      </c>
      <c r="G9" s="25" t="n">
        <v>0.802</v>
      </c>
      <c r="H9" s="25" t="n">
        <v>0.925</v>
      </c>
      <c r="I9" s="29" t="n">
        <v>6</v>
      </c>
      <c r="J9" s="29" t="n">
        <v>3</v>
      </c>
      <c r="K9" s="25" t="n">
        <v>0.9419999999999999</v>
      </c>
      <c r="L9" s="32" t="inlineStr">
        <is>
          <t>Stable</t>
        </is>
      </c>
      <c r="M9" s="31" t="inlineStr">
        <is>
          <t>Near full compliance across all metrics</t>
        </is>
      </c>
      <c r="N9" s="31" t="inlineStr">
        <is>
          <t>Maintain performance; document lessons learned</t>
        </is>
      </c>
    </row>
  </sheetData>
  <dataValidations count="1">
    <dataValidation sqref="L2:L100" showDropDown="0" showInputMessage="0" showErrorMessage="0" allowBlank="1" type="list">
      <formula1>"Improving,Stable,Declining"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5" customWidth="1" min="17" max="17"/>
  </cols>
  <sheetData>
    <row r="1" ht="35" customHeight="1">
      <c r="A1" s="1" t="inlineStr">
        <is>
          <t>KPI Name</t>
        </is>
      </c>
      <c r="B1" s="1" t="inlineStr">
        <is>
          <t>Target</t>
        </is>
      </c>
      <c r="C1" s="1" t="inlineStr">
        <is>
          <t>Jan Actual</t>
        </is>
      </c>
      <c r="D1" s="1" t="inlineStr">
        <is>
          <t>Jan Status</t>
        </is>
      </c>
      <c r="E1" s="1" t="inlineStr">
        <is>
          <t>Feb Actual</t>
        </is>
      </c>
      <c r="F1" s="1" t="inlineStr">
        <is>
          <t>Feb Status</t>
        </is>
      </c>
      <c r="G1" s="1" t="inlineStr">
        <is>
          <t>Mar Actual</t>
        </is>
      </c>
      <c r="H1" s="1" t="inlineStr">
        <is>
          <t>Mar Status</t>
        </is>
      </c>
      <c r="I1" s="1" t="inlineStr">
        <is>
          <t>Apr Actual</t>
        </is>
      </c>
      <c r="J1" s="1" t="inlineStr">
        <is>
          <t>Apr Status</t>
        </is>
      </c>
      <c r="K1" s="1" t="inlineStr">
        <is>
          <t>May Actual</t>
        </is>
      </c>
      <c r="L1" s="1" t="inlineStr">
        <is>
          <t>May Status</t>
        </is>
      </c>
      <c r="M1" s="1" t="inlineStr">
        <is>
          <t>Jun Actual</t>
        </is>
      </c>
      <c r="N1" s="1" t="inlineStr">
        <is>
          <t>Jun Status</t>
        </is>
      </c>
      <c r="O1" s="1" t="inlineStr">
        <is>
          <t>YTD Average</t>
        </is>
      </c>
      <c r="P1" s="1" t="inlineStr">
        <is>
          <t>YTD Status</t>
        </is>
      </c>
      <c r="Q1" s="1" t="inlineStr">
        <is>
          <t>Trend</t>
        </is>
      </c>
    </row>
    <row r="2">
      <c r="A2" s="11" t="inlineStr">
        <is>
          <t>Fill Rate</t>
        </is>
      </c>
      <c r="B2" s="27" t="inlineStr">
        <is>
          <t>95%</t>
        </is>
      </c>
      <c r="C2" s="25" t="n">
        <v>0.82</v>
      </c>
      <c r="D2" s="33" t="inlineStr">
        <is>
          <t>Critical</t>
        </is>
      </c>
      <c r="E2" s="25" t="n">
        <v>0.86</v>
      </c>
      <c r="F2" s="34" t="inlineStr">
        <is>
          <t>Below</t>
        </is>
      </c>
      <c r="G2" s="25" t="n">
        <v>0.9</v>
      </c>
      <c r="H2" s="34" t="inlineStr">
        <is>
          <t>Below</t>
        </is>
      </c>
      <c r="I2" s="25" t="n">
        <v>0.93</v>
      </c>
      <c r="J2" s="34" t="inlineStr">
        <is>
          <t>Below</t>
        </is>
      </c>
      <c r="K2" s="25" t="n">
        <v>0.95</v>
      </c>
      <c r="L2" s="35" t="inlineStr">
        <is>
          <t>Meets</t>
        </is>
      </c>
      <c r="M2" s="25" t="n">
        <v>0.97</v>
      </c>
      <c r="N2" s="35" t="inlineStr">
        <is>
          <t>Exceeds</t>
        </is>
      </c>
      <c r="O2" s="23">
        <f>AVERAGE(C2,E2,G2,I2,K2,M2)</f>
        <v/>
      </c>
      <c r="P2" s="34" t="inlineStr">
        <is>
          <t>Below</t>
        </is>
      </c>
      <c r="Q2" s="36" t="inlineStr">
        <is>
          <t>Improving ▲</t>
        </is>
      </c>
    </row>
    <row r="3">
      <c r="A3" s="15" t="inlineStr">
        <is>
          <t>Time to Fill (days)</t>
        </is>
      </c>
      <c r="B3" s="29" t="inlineStr">
        <is>
          <t>30</t>
        </is>
      </c>
      <c r="C3" s="25" t="n">
        <v>52</v>
      </c>
      <c r="D3" s="33" t="inlineStr">
        <is>
          <t>Critical</t>
        </is>
      </c>
      <c r="E3" s="25" t="n">
        <v>45</v>
      </c>
      <c r="F3" s="33" t="inlineStr">
        <is>
          <t>Critical</t>
        </is>
      </c>
      <c r="G3" s="25" t="n">
        <v>38</v>
      </c>
      <c r="H3" s="33" t="inlineStr">
        <is>
          <t>Critical</t>
        </is>
      </c>
      <c r="I3" s="25" t="n">
        <v>33</v>
      </c>
      <c r="J3" s="34" t="inlineStr">
        <is>
          <t>Below</t>
        </is>
      </c>
      <c r="K3" s="25" t="n">
        <v>29</v>
      </c>
      <c r="L3" s="35" t="inlineStr">
        <is>
          <t>Meets</t>
        </is>
      </c>
      <c r="M3" s="25" t="n">
        <v>26</v>
      </c>
      <c r="N3" s="35" t="inlineStr">
        <is>
          <t>Exceeds</t>
        </is>
      </c>
      <c r="O3" s="25">
        <f>AVERAGE(C3,E3,G3,I3,K3,M3)</f>
        <v/>
      </c>
      <c r="P3" s="33" t="inlineStr">
        <is>
          <t>Critical</t>
        </is>
      </c>
      <c r="Q3" s="36" t="inlineStr">
        <is>
          <t>Improving ▲</t>
        </is>
      </c>
    </row>
    <row r="4">
      <c r="A4" s="11" t="inlineStr">
        <is>
          <t>Staffing Level Compliance</t>
        </is>
      </c>
      <c r="B4" s="27" t="inlineStr">
        <is>
          <t>100%</t>
        </is>
      </c>
      <c r="C4" s="25" t="n">
        <v>0.85</v>
      </c>
      <c r="D4" s="33" t="inlineStr">
        <is>
          <t>Critical</t>
        </is>
      </c>
      <c r="E4" s="25" t="n">
        <v>0.88</v>
      </c>
      <c r="F4" s="33" t="inlineStr">
        <is>
          <t>Critical</t>
        </is>
      </c>
      <c r="G4" s="25" t="n">
        <v>0.92</v>
      </c>
      <c r="H4" s="34" t="inlineStr">
        <is>
          <t>Below</t>
        </is>
      </c>
      <c r="I4" s="25" t="n">
        <v>0.95</v>
      </c>
      <c r="J4" s="34" t="inlineStr">
        <is>
          <t>Below</t>
        </is>
      </c>
      <c r="K4" s="25" t="n">
        <v>0.98</v>
      </c>
      <c r="L4" s="34" t="inlineStr">
        <is>
          <t>Below</t>
        </is>
      </c>
      <c r="M4" s="25" t="n">
        <v>1</v>
      </c>
      <c r="N4" s="35" t="inlineStr">
        <is>
          <t>Meets</t>
        </is>
      </c>
      <c r="O4" s="23">
        <f>AVERAGE(C4,E4,G4,I4,K4,M4)</f>
        <v/>
      </c>
      <c r="P4" s="34" t="inlineStr">
        <is>
          <t>Below</t>
        </is>
      </c>
      <c r="Q4" s="36" t="inlineStr">
        <is>
          <t>Improving ▲</t>
        </is>
      </c>
    </row>
    <row r="5">
      <c r="A5" s="15" t="inlineStr">
        <is>
          <t>Attrition Rate</t>
        </is>
      </c>
      <c r="B5" s="29" t="inlineStr">
        <is>
          <t>&lt;5%</t>
        </is>
      </c>
      <c r="C5" s="25" t="n">
        <v>0.12</v>
      </c>
      <c r="D5" s="33" t="inlineStr">
        <is>
          <t>Critical</t>
        </is>
      </c>
      <c r="E5" s="25" t="n">
        <v>0.1</v>
      </c>
      <c r="F5" s="33" t="inlineStr">
        <is>
          <t>Critical</t>
        </is>
      </c>
      <c r="G5" s="25" t="n">
        <v>0.08</v>
      </c>
      <c r="H5" s="33" t="inlineStr">
        <is>
          <t>Critical</t>
        </is>
      </c>
      <c r="I5" s="25" t="n">
        <v>0.06</v>
      </c>
      <c r="J5" s="34" t="inlineStr">
        <is>
          <t>Below</t>
        </is>
      </c>
      <c r="K5" s="25" t="n">
        <v>0.05</v>
      </c>
      <c r="L5" s="35" t="inlineStr">
        <is>
          <t>Exceeds</t>
        </is>
      </c>
      <c r="M5" s="25" t="n">
        <v>0.04</v>
      </c>
      <c r="N5" s="35" t="inlineStr">
        <is>
          <t>Exceeds</t>
        </is>
      </c>
      <c r="O5" s="25">
        <f>AVERAGE(C5,E5,G5,I5,K5,M5)</f>
        <v/>
      </c>
      <c r="P5" s="33" t="inlineStr">
        <is>
          <t>Critical</t>
        </is>
      </c>
      <c r="Q5" s="36" t="inlineStr">
        <is>
          <t>Improving ▲</t>
        </is>
      </c>
    </row>
    <row r="6">
      <c r="A6" s="11" t="inlineStr">
        <is>
          <t>Absenteeism Rate</t>
        </is>
      </c>
      <c r="B6" s="27" t="inlineStr">
        <is>
          <t>&lt;4%</t>
        </is>
      </c>
      <c r="C6" s="25" t="n">
        <v>0.07000000000000001</v>
      </c>
      <c r="D6" s="33" t="inlineStr">
        <is>
          <t>Critical</t>
        </is>
      </c>
      <c r="E6" s="25" t="n">
        <v>0.06</v>
      </c>
      <c r="F6" s="34" t="inlineStr">
        <is>
          <t>Below</t>
        </is>
      </c>
      <c r="G6" s="25" t="n">
        <v>0.05</v>
      </c>
      <c r="H6" s="34" t="inlineStr">
        <is>
          <t>Below</t>
        </is>
      </c>
      <c r="I6" s="25" t="n">
        <v>0.045</v>
      </c>
      <c r="J6" s="34" t="inlineStr">
        <is>
          <t>Below</t>
        </is>
      </c>
      <c r="K6" s="25" t="n">
        <v>0.04</v>
      </c>
      <c r="L6" s="35" t="inlineStr">
        <is>
          <t>Exceeds</t>
        </is>
      </c>
      <c r="M6" s="25" t="n">
        <v>0.035</v>
      </c>
      <c r="N6" s="35" t="inlineStr">
        <is>
          <t>Exceeds</t>
        </is>
      </c>
      <c r="O6" s="23">
        <f>AVERAGE(C6,E6,G6,I6,K6,M6)</f>
        <v/>
      </c>
      <c r="P6" s="33" t="inlineStr">
        <is>
          <t>Critical</t>
        </is>
      </c>
      <c r="Q6" s="36" t="inlineStr">
        <is>
          <t>Improving ▲</t>
        </is>
      </c>
    </row>
    <row r="7">
      <c r="A7" s="15" t="inlineStr">
        <is>
          <t>Average Handle Time (sec)</t>
        </is>
      </c>
      <c r="B7" s="29" t="inlineStr">
        <is>
          <t>480</t>
        </is>
      </c>
      <c r="C7" s="15" t="n">
        <v>580</v>
      </c>
      <c r="D7" s="33" t="inlineStr">
        <is>
          <t>Critical</t>
        </is>
      </c>
      <c r="E7" s="15" t="n">
        <v>555</v>
      </c>
      <c r="F7" s="34" t="inlineStr">
        <is>
          <t>Below</t>
        </is>
      </c>
      <c r="G7" s="15" t="n">
        <v>525</v>
      </c>
      <c r="H7" s="34" t="inlineStr">
        <is>
          <t>Below</t>
        </is>
      </c>
      <c r="I7" s="15" t="n">
        <v>500</v>
      </c>
      <c r="J7" s="34" t="inlineStr">
        <is>
          <t>Below</t>
        </is>
      </c>
      <c r="K7" s="15" t="n">
        <v>485</v>
      </c>
      <c r="L7" s="34" t="inlineStr">
        <is>
          <t>Below</t>
        </is>
      </c>
      <c r="M7" s="15" t="n">
        <v>470</v>
      </c>
      <c r="N7" s="35" t="inlineStr">
        <is>
          <t>Meets</t>
        </is>
      </c>
      <c r="O7" s="15">
        <f>AVERAGE(C7,E7,G7,I7,K7,M7)</f>
        <v/>
      </c>
      <c r="P7" s="34" t="inlineStr">
        <is>
          <t>Below</t>
        </is>
      </c>
      <c r="Q7" s="36" t="inlineStr">
        <is>
          <t>Improving ▲</t>
        </is>
      </c>
    </row>
    <row r="8">
      <c r="A8" s="11" t="inlineStr">
        <is>
          <t>First Call Resolution</t>
        </is>
      </c>
      <c r="B8" s="27" t="inlineStr">
        <is>
          <t>75%</t>
        </is>
      </c>
      <c r="C8" s="25" t="n">
        <v>0.62</v>
      </c>
      <c r="D8" s="33" t="inlineStr">
        <is>
          <t>Critical</t>
        </is>
      </c>
      <c r="E8" s="25" t="n">
        <v>0.65</v>
      </c>
      <c r="F8" s="33" t="inlineStr">
        <is>
          <t>Critical</t>
        </is>
      </c>
      <c r="G8" s="25" t="n">
        <v>0.6899999999999999</v>
      </c>
      <c r="H8" s="34" t="inlineStr">
        <is>
          <t>Below</t>
        </is>
      </c>
      <c r="I8" s="25" t="n">
        <v>0.72</v>
      </c>
      <c r="J8" s="34" t="inlineStr">
        <is>
          <t>Below</t>
        </is>
      </c>
      <c r="K8" s="25" t="n">
        <v>0.75</v>
      </c>
      <c r="L8" s="35" t="inlineStr">
        <is>
          <t>Meets</t>
        </is>
      </c>
      <c r="M8" s="25" t="n">
        <v>0.78</v>
      </c>
      <c r="N8" s="35" t="inlineStr">
        <is>
          <t>Exceeds</t>
        </is>
      </c>
      <c r="O8" s="23">
        <f>AVERAGE(C8,E8,G8,I8,K8,M8)</f>
        <v/>
      </c>
      <c r="P8" s="34" t="inlineStr">
        <is>
          <t>Below</t>
        </is>
      </c>
      <c r="Q8" s="36" t="inlineStr">
        <is>
          <t>Improving ▲</t>
        </is>
      </c>
    </row>
    <row r="9">
      <c r="A9" s="15" t="inlineStr">
        <is>
          <t>Average Speed of Answer (sec)</t>
        </is>
      </c>
      <c r="B9" s="29" t="inlineStr">
        <is>
          <t>30</t>
        </is>
      </c>
      <c r="C9" s="15" t="n">
        <v>58</v>
      </c>
      <c r="D9" s="33" t="inlineStr">
        <is>
          <t>Critical</t>
        </is>
      </c>
      <c r="E9" s="15" t="n">
        <v>50</v>
      </c>
      <c r="F9" s="33" t="inlineStr">
        <is>
          <t>Critical</t>
        </is>
      </c>
      <c r="G9" s="15" t="n">
        <v>42</v>
      </c>
      <c r="H9" s="33" t="inlineStr">
        <is>
          <t>Critical</t>
        </is>
      </c>
      <c r="I9" s="15" t="n">
        <v>35</v>
      </c>
      <c r="J9" s="34" t="inlineStr">
        <is>
          <t>Below</t>
        </is>
      </c>
      <c r="K9" s="15" t="n">
        <v>30</v>
      </c>
      <c r="L9" s="35" t="inlineStr">
        <is>
          <t>Meets</t>
        </is>
      </c>
      <c r="M9" s="15" t="n">
        <v>25</v>
      </c>
      <c r="N9" s="35" t="inlineStr">
        <is>
          <t>Exceeds</t>
        </is>
      </c>
      <c r="O9" s="15">
        <f>AVERAGE(C9,E9,G9,I9,K9,M9)</f>
        <v/>
      </c>
      <c r="P9" s="33" t="inlineStr">
        <is>
          <t>Critical</t>
        </is>
      </c>
      <c r="Q9" s="36" t="inlineStr">
        <is>
          <t>Improving ▲</t>
        </is>
      </c>
    </row>
    <row r="10">
      <c r="A10" s="11" t="inlineStr">
        <is>
          <t>Abandonment Rate</t>
        </is>
      </c>
      <c r="B10" s="27" t="inlineStr">
        <is>
          <t>&lt;5%</t>
        </is>
      </c>
      <c r="C10" s="25" t="n">
        <v>0.1</v>
      </c>
      <c r="D10" s="33" t="inlineStr">
        <is>
          <t>Critical</t>
        </is>
      </c>
      <c r="E10" s="25" t="n">
        <v>0.09</v>
      </c>
      <c r="F10" s="33" t="inlineStr">
        <is>
          <t>Critical</t>
        </is>
      </c>
      <c r="G10" s="25" t="n">
        <v>0.07000000000000001</v>
      </c>
      <c r="H10" s="34" t="inlineStr">
        <is>
          <t>Below</t>
        </is>
      </c>
      <c r="I10" s="25" t="n">
        <v>0.06</v>
      </c>
      <c r="J10" s="34" t="inlineStr">
        <is>
          <t>Below</t>
        </is>
      </c>
      <c r="K10" s="25" t="n">
        <v>0.05</v>
      </c>
      <c r="L10" s="35" t="inlineStr">
        <is>
          <t>Exceeds</t>
        </is>
      </c>
      <c r="M10" s="25" t="n">
        <v>0.04</v>
      </c>
      <c r="N10" s="35" t="inlineStr">
        <is>
          <t>Exceeds</t>
        </is>
      </c>
      <c r="O10" s="23">
        <f>AVERAGE(C10,E10,G10,I10,K10,M10)</f>
        <v/>
      </c>
      <c r="P10" s="33" t="inlineStr">
        <is>
          <t>Critical</t>
        </is>
      </c>
      <c r="Q10" s="36" t="inlineStr">
        <is>
          <t>Improving ▲</t>
        </is>
      </c>
    </row>
    <row r="11">
      <c r="A11" s="15" t="inlineStr">
        <is>
          <t>Schedule Adherence</t>
        </is>
      </c>
      <c r="B11" s="29" t="inlineStr">
        <is>
          <t>92%</t>
        </is>
      </c>
      <c r="C11" s="25" t="n">
        <v>0.84</v>
      </c>
      <c r="D11" s="34" t="inlineStr">
        <is>
          <t>Below</t>
        </is>
      </c>
      <c r="E11" s="25" t="n">
        <v>0.86</v>
      </c>
      <c r="F11" s="34" t="inlineStr">
        <is>
          <t>Below</t>
        </is>
      </c>
      <c r="G11" s="25" t="n">
        <v>0.88</v>
      </c>
      <c r="H11" s="34" t="inlineStr">
        <is>
          <t>Below</t>
        </is>
      </c>
      <c r="I11" s="25" t="n">
        <v>0.9</v>
      </c>
      <c r="J11" s="34" t="inlineStr">
        <is>
          <t>Below</t>
        </is>
      </c>
      <c r="K11" s="25" t="n">
        <v>0.92</v>
      </c>
      <c r="L11" s="35" t="inlineStr">
        <is>
          <t>Meets</t>
        </is>
      </c>
      <c r="M11" s="25" t="n">
        <v>0.9399999999999999</v>
      </c>
      <c r="N11" s="35" t="inlineStr">
        <is>
          <t>Exceeds</t>
        </is>
      </c>
      <c r="O11" s="25">
        <f>AVERAGE(C11,E11,G11,I11,K11,M11)</f>
        <v/>
      </c>
      <c r="P11" s="34" t="inlineStr">
        <is>
          <t>Below</t>
        </is>
      </c>
      <c r="Q11" s="36" t="inlineStr">
        <is>
          <t>Improving ▲</t>
        </is>
      </c>
    </row>
    <row r="12">
      <c r="A12" s="11" t="inlineStr">
        <is>
          <t>Quality Assurance Score</t>
        </is>
      </c>
      <c r="B12" s="27" t="inlineStr">
        <is>
          <t>90%</t>
        </is>
      </c>
      <c r="C12" s="25" t="n">
        <v>0.78</v>
      </c>
      <c r="D12" s="33" t="inlineStr">
        <is>
          <t>Critical</t>
        </is>
      </c>
      <c r="E12" s="25" t="n">
        <v>0.82</v>
      </c>
      <c r="F12" s="34" t="inlineStr">
        <is>
          <t>Below</t>
        </is>
      </c>
      <c r="G12" s="25" t="n">
        <v>0.85</v>
      </c>
      <c r="H12" s="34" t="inlineStr">
        <is>
          <t>Below</t>
        </is>
      </c>
      <c r="I12" s="25" t="n">
        <v>0.88</v>
      </c>
      <c r="J12" s="34" t="inlineStr">
        <is>
          <t>Below</t>
        </is>
      </c>
      <c r="K12" s="25" t="n">
        <v>0.9</v>
      </c>
      <c r="L12" s="35" t="inlineStr">
        <is>
          <t>Meets</t>
        </is>
      </c>
      <c r="M12" s="25" t="n">
        <v>0.93</v>
      </c>
      <c r="N12" s="35" t="inlineStr">
        <is>
          <t>Exceeds</t>
        </is>
      </c>
      <c r="O12" s="23">
        <f>AVERAGE(C12,E12,G12,I12,K12,M12)</f>
        <v/>
      </c>
      <c r="P12" s="34" t="inlineStr">
        <is>
          <t>Below</t>
        </is>
      </c>
      <c r="Q12" s="36" t="inlineStr">
        <is>
          <t>Improving ▲</t>
        </is>
      </c>
    </row>
    <row r="13">
      <c r="A13" s="15" t="inlineStr">
        <is>
          <t>Error Rate</t>
        </is>
      </c>
      <c r="B13" s="29" t="inlineStr">
        <is>
          <t>&lt;2%</t>
        </is>
      </c>
      <c r="C13" s="25" t="n">
        <v>0.06</v>
      </c>
      <c r="D13" s="33" t="inlineStr">
        <is>
          <t>Critical</t>
        </is>
      </c>
      <c r="E13" s="25" t="n">
        <v>0.05</v>
      </c>
      <c r="F13" s="33" t="inlineStr">
        <is>
          <t>Critical</t>
        </is>
      </c>
      <c r="G13" s="25" t="n">
        <v>0.04</v>
      </c>
      <c r="H13" s="33" t="inlineStr">
        <is>
          <t>Critical</t>
        </is>
      </c>
      <c r="I13" s="25" t="n">
        <v>0.03</v>
      </c>
      <c r="J13" s="34" t="inlineStr">
        <is>
          <t>Below</t>
        </is>
      </c>
      <c r="K13" s="25" t="n">
        <v>0.02</v>
      </c>
      <c r="L13" s="35" t="inlineStr">
        <is>
          <t>Exceeds</t>
        </is>
      </c>
      <c r="M13" s="25" t="n">
        <v>0.015</v>
      </c>
      <c r="N13" s="35" t="inlineStr">
        <is>
          <t>Exceeds</t>
        </is>
      </c>
      <c r="O13" s="25">
        <f>AVERAGE(C13,E13,G13,I13,K13,M13)</f>
        <v/>
      </c>
      <c r="P13" s="33" t="inlineStr">
        <is>
          <t>Critical</t>
        </is>
      </c>
      <c r="Q13" s="36" t="inlineStr">
        <is>
          <t>Improving ▲</t>
        </is>
      </c>
    </row>
    <row r="14">
      <c r="A14" s="11" t="inlineStr">
        <is>
          <t>Compliance Audit Score</t>
        </is>
      </c>
      <c r="B14" s="27" t="inlineStr">
        <is>
          <t>95%</t>
        </is>
      </c>
      <c r="C14" s="25" t="n">
        <v>0.88</v>
      </c>
      <c r="D14" s="34" t="inlineStr">
        <is>
          <t>Below</t>
        </is>
      </c>
      <c r="E14" s="25" t="n">
        <v>0.9</v>
      </c>
      <c r="F14" s="34" t="inlineStr">
        <is>
          <t>Below</t>
        </is>
      </c>
      <c r="G14" s="25" t="n">
        <v>0.92</v>
      </c>
      <c r="H14" s="34" t="inlineStr">
        <is>
          <t>Below</t>
        </is>
      </c>
      <c r="I14" s="25" t="n">
        <v>0.9399999999999999</v>
      </c>
      <c r="J14" s="34" t="inlineStr">
        <is>
          <t>Below</t>
        </is>
      </c>
      <c r="K14" s="25" t="n">
        <v>0.95</v>
      </c>
      <c r="L14" s="35" t="inlineStr">
        <is>
          <t>Meets</t>
        </is>
      </c>
      <c r="M14" s="25" t="n">
        <v>0.97</v>
      </c>
      <c r="N14" s="35" t="inlineStr">
        <is>
          <t>Exceeds</t>
        </is>
      </c>
      <c r="O14" s="23">
        <f>AVERAGE(C14,E14,G14,I14,K14,M14)</f>
        <v/>
      </c>
      <c r="P14" s="34" t="inlineStr">
        <is>
          <t>Below</t>
        </is>
      </c>
      <c r="Q14" s="36" t="inlineStr">
        <is>
          <t>Improving ▲</t>
        </is>
      </c>
    </row>
    <row r="15">
      <c r="A15" s="15" t="inlineStr">
        <is>
          <t>Training Completion Rate</t>
        </is>
      </c>
      <c r="B15" s="29" t="inlineStr">
        <is>
          <t>98%</t>
        </is>
      </c>
      <c r="C15" s="25" t="n">
        <v>0.9</v>
      </c>
      <c r="D15" s="34" t="inlineStr">
        <is>
          <t>Below</t>
        </is>
      </c>
      <c r="E15" s="25" t="n">
        <v>0.93</v>
      </c>
      <c r="F15" s="34" t="inlineStr">
        <is>
          <t>Below</t>
        </is>
      </c>
      <c r="G15" s="25" t="n">
        <v>0.95</v>
      </c>
      <c r="H15" s="34" t="inlineStr">
        <is>
          <t>Below</t>
        </is>
      </c>
      <c r="I15" s="25" t="n">
        <v>0.97</v>
      </c>
      <c r="J15" s="34" t="inlineStr">
        <is>
          <t>Below</t>
        </is>
      </c>
      <c r="K15" s="25" t="n">
        <v>0.98</v>
      </c>
      <c r="L15" s="35" t="inlineStr">
        <is>
          <t>Meets</t>
        </is>
      </c>
      <c r="M15" s="25" t="n">
        <v>0.99</v>
      </c>
      <c r="N15" s="35" t="inlineStr">
        <is>
          <t>Meets</t>
        </is>
      </c>
      <c r="O15" s="25">
        <f>AVERAGE(C15,E15,G15,I15,K15,M15)</f>
        <v/>
      </c>
      <c r="P15" s="34" t="inlineStr">
        <is>
          <t>Below</t>
        </is>
      </c>
      <c r="Q15" s="36" t="inlineStr">
        <is>
          <t>Improving ▲</t>
        </is>
      </c>
    </row>
    <row r="16">
      <c r="A16" s="11" t="inlineStr">
        <is>
          <t>Customer Satisfaction (CSAT)</t>
        </is>
      </c>
      <c r="B16" s="27" t="inlineStr">
        <is>
          <t>4.2</t>
        </is>
      </c>
      <c r="C16" s="15" t="n">
        <v>3.4</v>
      </c>
      <c r="D16" s="33" t="inlineStr">
        <is>
          <t>Critical</t>
        </is>
      </c>
      <c r="E16" s="15" t="n">
        <v>3.6</v>
      </c>
      <c r="F16" s="34" t="inlineStr">
        <is>
          <t>Below</t>
        </is>
      </c>
      <c r="G16" s="15" t="n">
        <v>3.8</v>
      </c>
      <c r="H16" s="34" t="inlineStr">
        <is>
          <t>Below</t>
        </is>
      </c>
      <c r="I16" s="15" t="n">
        <v>4</v>
      </c>
      <c r="J16" s="34" t="inlineStr">
        <is>
          <t>Below</t>
        </is>
      </c>
      <c r="K16" s="15" t="n">
        <v>4.2</v>
      </c>
      <c r="L16" s="35" t="inlineStr">
        <is>
          <t>Meets</t>
        </is>
      </c>
      <c r="M16" s="15" t="n">
        <v>4.4</v>
      </c>
      <c r="N16" s="35" t="inlineStr">
        <is>
          <t>Meets</t>
        </is>
      </c>
      <c r="O16" s="11">
        <f>AVERAGE(C16,E16,G16,I16,K16,M16)</f>
        <v/>
      </c>
      <c r="P16" s="34" t="inlineStr">
        <is>
          <t>Below</t>
        </is>
      </c>
      <c r="Q16" s="36" t="inlineStr">
        <is>
          <t>Improving ▲</t>
        </is>
      </c>
    </row>
    <row r="17">
      <c r="A17" s="15" t="inlineStr">
        <is>
          <t>Net Promoter Score</t>
        </is>
      </c>
      <c r="B17" s="29" t="inlineStr">
        <is>
          <t>40</t>
        </is>
      </c>
      <c r="C17" s="15" t="n">
        <v>15</v>
      </c>
      <c r="D17" s="33" t="inlineStr">
        <is>
          <t>Critical</t>
        </is>
      </c>
      <c r="E17" s="15" t="n">
        <v>22</v>
      </c>
      <c r="F17" s="33" t="inlineStr">
        <is>
          <t>Critical</t>
        </is>
      </c>
      <c r="G17" s="15" t="n">
        <v>28</v>
      </c>
      <c r="H17" s="33" t="inlineStr">
        <is>
          <t>Critical</t>
        </is>
      </c>
      <c r="I17" s="15" t="n">
        <v>34</v>
      </c>
      <c r="J17" s="34" t="inlineStr">
        <is>
          <t>Below</t>
        </is>
      </c>
      <c r="K17" s="15" t="n">
        <v>40</v>
      </c>
      <c r="L17" s="35" t="inlineStr">
        <is>
          <t>Meets</t>
        </is>
      </c>
      <c r="M17" s="15" t="n">
        <v>46</v>
      </c>
      <c r="N17" s="35" t="inlineStr">
        <is>
          <t>Exceeds</t>
        </is>
      </c>
      <c r="O17" s="15">
        <f>AVERAGE(C17,E17,G17,I17,K17,M17)</f>
        <v/>
      </c>
      <c r="P17" s="33" t="inlineStr">
        <is>
          <t>Critical</t>
        </is>
      </c>
      <c r="Q17" s="36" t="inlineStr">
        <is>
          <t>Improving ▲</t>
        </is>
      </c>
    </row>
    <row r="18">
      <c r="A18" s="11" t="inlineStr">
        <is>
          <t>Complaint Rate (per 1000)</t>
        </is>
      </c>
      <c r="B18" s="27" t="inlineStr">
        <is>
          <t>&lt;3</t>
        </is>
      </c>
      <c r="C18" s="15" t="n">
        <v>8.5</v>
      </c>
      <c r="D18" s="33" t="inlineStr">
        <is>
          <t>Critical</t>
        </is>
      </c>
      <c r="E18" s="15" t="n">
        <v>7</v>
      </c>
      <c r="F18" s="33" t="inlineStr">
        <is>
          <t>Critical</t>
        </is>
      </c>
      <c r="G18" s="15" t="n">
        <v>5.5</v>
      </c>
      <c r="H18" s="33" t="inlineStr">
        <is>
          <t>Critical</t>
        </is>
      </c>
      <c r="I18" s="15" t="n">
        <v>4.2</v>
      </c>
      <c r="J18" s="34" t="inlineStr">
        <is>
          <t>Below</t>
        </is>
      </c>
      <c r="K18" s="15" t="n">
        <v>3</v>
      </c>
      <c r="L18" s="35" t="inlineStr">
        <is>
          <t>Exceeds</t>
        </is>
      </c>
      <c r="M18" s="15" t="n">
        <v>2.2</v>
      </c>
      <c r="N18" s="35" t="inlineStr">
        <is>
          <t>Exceeds</t>
        </is>
      </c>
      <c r="O18" s="11">
        <f>AVERAGE(C18,E18,G18,I18,K18,M18)</f>
        <v/>
      </c>
      <c r="P18" s="33" t="inlineStr">
        <is>
          <t>Critical</t>
        </is>
      </c>
      <c r="Q18" s="36" t="inlineStr">
        <is>
          <t>Improving ▲</t>
        </is>
      </c>
    </row>
    <row r="19">
      <c r="A19" s="15" t="inlineStr">
        <is>
          <t>Escalation Rate</t>
        </is>
      </c>
      <c r="B19" s="29" t="inlineStr">
        <is>
          <t>&lt;8%</t>
        </is>
      </c>
      <c r="C19" s="25" t="n">
        <v>0.16</v>
      </c>
      <c r="D19" s="33" t="inlineStr">
        <is>
          <t>Critical</t>
        </is>
      </c>
      <c r="E19" s="25" t="n">
        <v>0.14</v>
      </c>
      <c r="F19" s="33" t="inlineStr">
        <is>
          <t>Critical</t>
        </is>
      </c>
      <c r="G19" s="25" t="n">
        <v>0.12</v>
      </c>
      <c r="H19" s="34" t="inlineStr">
        <is>
          <t>Below</t>
        </is>
      </c>
      <c r="I19" s="25" t="n">
        <v>0.1</v>
      </c>
      <c r="J19" s="34" t="inlineStr">
        <is>
          <t>Below</t>
        </is>
      </c>
      <c r="K19" s="25" t="n">
        <v>0.08</v>
      </c>
      <c r="L19" s="35" t="inlineStr">
        <is>
          <t>Exceeds</t>
        </is>
      </c>
      <c r="M19" s="25" t="n">
        <v>0.06</v>
      </c>
      <c r="N19" s="35" t="inlineStr">
        <is>
          <t>Exceeds</t>
        </is>
      </c>
      <c r="O19" s="25">
        <f>AVERAGE(C19,E19,G19,I19,K19,M19)</f>
        <v/>
      </c>
      <c r="P19" s="33" t="inlineStr">
        <is>
          <t>Critical</t>
        </is>
      </c>
      <c r="Q19" s="36" t="inlineStr">
        <is>
          <t>Improving ▲</t>
        </is>
      </c>
    </row>
    <row r="20">
      <c r="A20" s="11" t="inlineStr">
        <is>
          <t>On-Time Delivery</t>
        </is>
      </c>
      <c r="B20" s="27" t="inlineStr">
        <is>
          <t>98%</t>
        </is>
      </c>
      <c r="C20" s="25" t="n">
        <v>0.88</v>
      </c>
      <c r="D20" s="33" t="inlineStr">
        <is>
          <t>Critical</t>
        </is>
      </c>
      <c r="E20" s="25" t="n">
        <v>0.91</v>
      </c>
      <c r="F20" s="34" t="inlineStr">
        <is>
          <t>Below</t>
        </is>
      </c>
      <c r="G20" s="25" t="n">
        <v>0.9399999999999999</v>
      </c>
      <c r="H20" s="34" t="inlineStr">
        <is>
          <t>Below</t>
        </is>
      </c>
      <c r="I20" s="25" t="n">
        <v>0.96</v>
      </c>
      <c r="J20" s="34" t="inlineStr">
        <is>
          <t>Below</t>
        </is>
      </c>
      <c r="K20" s="25" t="n">
        <v>0.98</v>
      </c>
      <c r="L20" s="35" t="inlineStr">
        <is>
          <t>Meets</t>
        </is>
      </c>
      <c r="M20" s="25" t="n">
        <v>0.99</v>
      </c>
      <c r="N20" s="35" t="inlineStr">
        <is>
          <t>Meets</t>
        </is>
      </c>
      <c r="O20" s="23">
        <f>AVERAGE(C20,E20,G20,I20,K20,M20)</f>
        <v/>
      </c>
      <c r="P20" s="34" t="inlineStr">
        <is>
          <t>Below</t>
        </is>
      </c>
      <c r="Q20" s="36" t="inlineStr">
        <is>
          <t>Improving ▲</t>
        </is>
      </c>
    </row>
    <row r="21">
      <c r="A21" s="15" t="inlineStr">
        <is>
          <t>Response Time SLA</t>
        </is>
      </c>
      <c r="B21" s="29" t="inlineStr">
        <is>
          <t>95%</t>
        </is>
      </c>
      <c r="C21" s="25" t="n">
        <v>0.82</v>
      </c>
      <c r="D21" s="33" t="inlineStr">
        <is>
          <t>Critical</t>
        </is>
      </c>
      <c r="E21" s="25" t="n">
        <v>0.85</v>
      </c>
      <c r="F21" s="33" t="inlineStr">
        <is>
          <t>Critical</t>
        </is>
      </c>
      <c r="G21" s="25" t="n">
        <v>0.88</v>
      </c>
      <c r="H21" s="34" t="inlineStr">
        <is>
          <t>Below</t>
        </is>
      </c>
      <c r="I21" s="25" t="n">
        <v>0.91</v>
      </c>
      <c r="J21" s="34" t="inlineStr">
        <is>
          <t>Below</t>
        </is>
      </c>
      <c r="K21" s="25" t="n">
        <v>0.95</v>
      </c>
      <c r="L21" s="35" t="inlineStr">
        <is>
          <t>Meets</t>
        </is>
      </c>
      <c r="M21" s="25" t="n">
        <v>0.97</v>
      </c>
      <c r="N21" s="35" t="inlineStr">
        <is>
          <t>Exceeds</t>
        </is>
      </c>
      <c r="O21" s="25">
        <f>AVERAGE(C21,E21,G21,I21,K21,M21)</f>
        <v/>
      </c>
      <c r="P21" s="34" t="inlineStr">
        <is>
          <t>Below</t>
        </is>
      </c>
      <c r="Q21" s="36" t="inlineStr">
        <is>
          <t>Improving ▲</t>
        </is>
      </c>
    </row>
    <row r="22"/>
    <row r="23"/>
    <row r="24">
      <c r="A24" s="37" t="inlineStr">
        <is>
          <t>SUMMARY</t>
        </is>
      </c>
      <c r="B24" s="40" t="n"/>
      <c r="C24" s="40" t="n"/>
      <c r="D24" s="41" t="n"/>
    </row>
    <row r="25">
      <c r="A25" s="38" t="inlineStr">
        <is>
          <t>KPIs Meeting Target (Jun)</t>
        </is>
      </c>
      <c r="B25" s="29">
        <f>COUNTIF(N2:N21,"Meets")+COUNTIF(N2:N21,"Exceeds")</f>
        <v/>
      </c>
    </row>
    <row r="26">
      <c r="A26" s="38" t="inlineStr">
        <is>
          <t>KPIs Below Target (Jun)</t>
        </is>
      </c>
      <c r="B26" s="29">
        <f>COUNTIF(N2:N21,"Below")</f>
        <v/>
      </c>
    </row>
    <row r="27">
      <c r="A27" s="38" t="inlineStr">
        <is>
          <t>KPIs Critical (Jun)</t>
        </is>
      </c>
      <c r="B27" s="29">
        <f>COUNTIF(N2:N21,"Critical")</f>
        <v/>
      </c>
    </row>
    <row r="28">
      <c r="A28" s="38" t="inlineStr">
        <is>
          <t>% Meeting Target</t>
        </is>
      </c>
      <c r="B28" s="39">
        <f>B25/20</f>
        <v/>
      </c>
    </row>
    <row r="29">
      <c r="A29" s="38" t="inlineStr">
        <is>
          <t>Estimated Monthly Penalties</t>
        </is>
      </c>
      <c r="B29" s="29" t="inlineStr">
        <is>
          <t>$12,500</t>
        </is>
      </c>
    </row>
    <row r="30">
      <c r="A30" s="38" t="inlineStr">
        <is>
          <t>Estimated Monthly Incentives</t>
        </is>
      </c>
      <c r="B30" s="29" t="inlineStr">
        <is>
          <t>$4,750</t>
        </is>
      </c>
    </row>
  </sheetData>
  <mergeCells count="1">
    <mergeCell ref="A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6" customWidth="1" min="4" max="4"/>
    <col width="20" customWidth="1" min="5" max="5"/>
    <col width="20" customWidth="1" min="6" max="6"/>
    <col width="18" customWidth="1" min="7" max="7"/>
    <col width="16" customWidth="1" min="8" max="8"/>
    <col width="16" customWidth="1" min="9" max="9"/>
    <col width="16" customWidth="1" min="10" max="10"/>
    <col width="28" customWidth="1" min="11" max="11"/>
    <col width="16" customWidth="1" min="12" max="12"/>
  </cols>
  <sheetData>
    <row r="1" ht="40" customHeight="1">
      <c r="A1" s="1" t="inlineStr">
        <is>
          <t>Week</t>
        </is>
      </c>
      <c r="B1" s="1" t="inlineStr">
        <is>
          <t>Total Headcount</t>
        </is>
      </c>
      <c r="C1" s="1" t="inlineStr">
        <is>
          <t>New Hires (Cumulative)</t>
        </is>
      </c>
      <c r="D1" s="1" t="inlineStr">
        <is>
          <t>% New vs Tenured</t>
        </is>
      </c>
      <c r="E1" s="1" t="inlineStr">
        <is>
          <t>Avg New Hire AHT (sec)</t>
        </is>
      </c>
      <c r="F1" s="1" t="inlineStr">
        <is>
          <t>Avg Tenured AHT (sec)</t>
        </is>
      </c>
      <c r="G1" s="1" t="inlineStr">
        <is>
          <t>Blended AHT (sec)</t>
        </is>
      </c>
      <c r="H1" s="1" t="inlineStr">
        <is>
          <t>New Hire QA Score</t>
        </is>
      </c>
      <c r="I1" s="1" t="inlineStr">
        <is>
          <t>Tenured QA Score</t>
        </is>
      </c>
      <c r="J1" s="1" t="inlineStr">
        <is>
          <t>Blended QA Score</t>
        </is>
      </c>
      <c r="K1" s="1" t="inlineStr">
        <is>
          <t>Projected Weeks to Full Proficiency</t>
        </is>
      </c>
      <c r="L1" s="1" t="inlineStr">
        <is>
          <t>Impact on SLA</t>
        </is>
      </c>
    </row>
    <row r="2">
      <c r="A2" s="27" t="n">
        <v>1</v>
      </c>
      <c r="B2" s="27" t="n">
        <v>125</v>
      </c>
      <c r="C2" s="27" t="n">
        <v>25</v>
      </c>
      <c r="D2" s="23">
        <f>C2/B2</f>
        <v/>
      </c>
      <c r="E2" s="9" t="n">
        <v>720</v>
      </c>
      <c r="F2" s="9" t="n">
        <v>440</v>
      </c>
      <c r="G2" s="9">
        <f>(E2*C2+F2*(B2-C2))/B2</f>
        <v/>
      </c>
      <c r="H2" s="23" t="n">
        <v>0.68</v>
      </c>
      <c r="I2" s="23" t="n">
        <v>0.9399999999999999</v>
      </c>
      <c r="J2" s="23">
        <f>(H2*C2+I2*(B2-C2))/B2</f>
        <v/>
      </c>
      <c r="K2" s="27" t="n">
        <v>14</v>
      </c>
      <c r="L2" s="42" t="inlineStr">
        <is>
          <t>Negative</t>
        </is>
      </c>
    </row>
    <row r="3">
      <c r="A3" s="29" t="n">
        <v>2</v>
      </c>
      <c r="B3" s="29" t="n">
        <v>130</v>
      </c>
      <c r="C3" s="29" t="n">
        <v>30</v>
      </c>
      <c r="D3" s="25">
        <f>C3/B3</f>
        <v/>
      </c>
      <c r="E3" s="13" t="n">
        <v>690</v>
      </c>
      <c r="F3" s="13" t="n">
        <v>440</v>
      </c>
      <c r="G3" s="13">
        <f>(E3*C3+F3*(B3-C3))/B3</f>
        <v/>
      </c>
      <c r="H3" s="25" t="n">
        <v>0.71</v>
      </c>
      <c r="I3" s="25" t="n">
        <v>0.9399999999999999</v>
      </c>
      <c r="J3" s="25">
        <f>(H3*C3+I3*(B3-C3))/B3</f>
        <v/>
      </c>
      <c r="K3" s="29" t="n">
        <v>13</v>
      </c>
      <c r="L3" s="33" t="inlineStr">
        <is>
          <t>Negative</t>
        </is>
      </c>
    </row>
    <row r="4">
      <c r="A4" s="27" t="n">
        <v>3</v>
      </c>
      <c r="B4" s="27" t="n">
        <v>140</v>
      </c>
      <c r="C4" s="27" t="n">
        <v>40</v>
      </c>
      <c r="D4" s="23">
        <f>C4/B4</f>
        <v/>
      </c>
      <c r="E4" s="9" t="n">
        <v>660</v>
      </c>
      <c r="F4" s="9" t="n">
        <v>440</v>
      </c>
      <c r="G4" s="9">
        <f>(E4*C4+F4*(B4-C4))/B4</f>
        <v/>
      </c>
      <c r="H4" s="23" t="n">
        <v>0.74</v>
      </c>
      <c r="I4" s="23" t="n">
        <v>0.9399999999999999</v>
      </c>
      <c r="J4" s="23">
        <f>(H4*C4+I4*(B4-C4))/B4</f>
        <v/>
      </c>
      <c r="K4" s="27" t="n">
        <v>12</v>
      </c>
      <c r="L4" s="42" t="inlineStr">
        <is>
          <t>Negative</t>
        </is>
      </c>
    </row>
    <row r="5">
      <c r="A5" s="29" t="n">
        <v>4</v>
      </c>
      <c r="B5" s="29" t="n">
        <v>145</v>
      </c>
      <c r="C5" s="29" t="n">
        <v>45</v>
      </c>
      <c r="D5" s="25">
        <f>C5/B5</f>
        <v/>
      </c>
      <c r="E5" s="13" t="n">
        <v>635</v>
      </c>
      <c r="F5" s="13" t="n">
        <v>440</v>
      </c>
      <c r="G5" s="13">
        <f>(E5*C5+F5*(B5-C5))/B5</f>
        <v/>
      </c>
      <c r="H5" s="25" t="n">
        <v>0.77</v>
      </c>
      <c r="I5" s="25" t="n">
        <v>0.9399999999999999</v>
      </c>
      <c r="J5" s="25">
        <f>(H5*C5+I5*(B5-C5))/B5</f>
        <v/>
      </c>
      <c r="K5" s="29" t="n">
        <v>10</v>
      </c>
      <c r="L5" s="33" t="inlineStr">
        <is>
          <t>Negative</t>
        </is>
      </c>
    </row>
    <row r="6">
      <c r="A6" s="27" t="n">
        <v>5</v>
      </c>
      <c r="B6" s="27" t="n">
        <v>150</v>
      </c>
      <c r="C6" s="27" t="n">
        <v>50</v>
      </c>
      <c r="D6" s="23">
        <f>C6/B6</f>
        <v/>
      </c>
      <c r="E6" s="9" t="n">
        <v>610</v>
      </c>
      <c r="F6" s="9" t="n">
        <v>440</v>
      </c>
      <c r="G6" s="9">
        <f>(E6*C6+F6*(B6-C6))/B6</f>
        <v/>
      </c>
      <c r="H6" s="23" t="n">
        <v>0.79</v>
      </c>
      <c r="I6" s="23" t="n">
        <v>0.9399999999999999</v>
      </c>
      <c r="J6" s="23">
        <f>(H6*C6+I6*(B6-C6))/B6</f>
        <v/>
      </c>
      <c r="K6" s="27" t="n">
        <v>9</v>
      </c>
      <c r="L6" s="43" t="inlineStr">
        <is>
          <t>Neutral</t>
        </is>
      </c>
    </row>
    <row r="7">
      <c r="A7" s="29" t="n">
        <v>6</v>
      </c>
      <c r="B7" s="29" t="n">
        <v>150</v>
      </c>
      <c r="C7" s="29" t="n">
        <v>50</v>
      </c>
      <c r="D7" s="25">
        <f>C7/B7</f>
        <v/>
      </c>
      <c r="E7" s="13" t="n">
        <v>580</v>
      </c>
      <c r="F7" s="13" t="n">
        <v>440</v>
      </c>
      <c r="G7" s="13">
        <f>(E7*C7+F7*(B7-C7))/B7</f>
        <v/>
      </c>
      <c r="H7" s="25" t="n">
        <v>0.82</v>
      </c>
      <c r="I7" s="25" t="n">
        <v>0.9399999999999999</v>
      </c>
      <c r="J7" s="25">
        <f>(H7*C7+I7*(B7-C7))/B7</f>
        <v/>
      </c>
      <c r="K7" s="29" t="n">
        <v>8</v>
      </c>
      <c r="L7" s="34" t="inlineStr">
        <is>
          <t>Neutral</t>
        </is>
      </c>
    </row>
    <row r="8">
      <c r="A8" s="27" t="n">
        <v>7</v>
      </c>
      <c r="B8" s="27" t="n">
        <v>150</v>
      </c>
      <c r="C8" s="27" t="n">
        <v>50</v>
      </c>
      <c r="D8" s="23">
        <f>C8/B8</f>
        <v/>
      </c>
      <c r="E8" s="9" t="n">
        <v>550</v>
      </c>
      <c r="F8" s="9" t="n">
        <v>440</v>
      </c>
      <c r="G8" s="9">
        <f>(E8*C8+F8*(B8-C8))/B8</f>
        <v/>
      </c>
      <c r="H8" s="23" t="n">
        <v>0.85</v>
      </c>
      <c r="I8" s="23" t="n">
        <v>0.9399999999999999</v>
      </c>
      <c r="J8" s="23">
        <f>(H8*C8+I8*(B8-C8))/B8</f>
        <v/>
      </c>
      <c r="K8" s="27" t="n">
        <v>6</v>
      </c>
      <c r="L8" s="43" t="inlineStr">
        <is>
          <t>Neutral</t>
        </is>
      </c>
    </row>
    <row r="9">
      <c r="A9" s="29" t="n">
        <v>8</v>
      </c>
      <c r="B9" s="29" t="n">
        <v>150</v>
      </c>
      <c r="C9" s="29" t="n">
        <v>50</v>
      </c>
      <c r="D9" s="25">
        <f>C9/B9</f>
        <v/>
      </c>
      <c r="E9" s="13" t="n">
        <v>525</v>
      </c>
      <c r="F9" s="13" t="n">
        <v>440</v>
      </c>
      <c r="G9" s="13">
        <f>(E9*C9+F9*(B9-C9))/B9</f>
        <v/>
      </c>
      <c r="H9" s="25" t="n">
        <v>0.87</v>
      </c>
      <c r="I9" s="25" t="n">
        <v>0.9399999999999999</v>
      </c>
      <c r="J9" s="25">
        <f>(H9*C9+I9*(B9-C9))/B9</f>
        <v/>
      </c>
      <c r="K9" s="29" t="n">
        <v>5</v>
      </c>
      <c r="L9" s="35" t="inlineStr">
        <is>
          <t>Positive</t>
        </is>
      </c>
    </row>
    <row r="10">
      <c r="A10" s="27" t="n">
        <v>9</v>
      </c>
      <c r="B10" s="27" t="n">
        <v>150</v>
      </c>
      <c r="C10" s="27" t="n">
        <v>50</v>
      </c>
      <c r="D10" s="23">
        <f>C10/B10</f>
        <v/>
      </c>
      <c r="E10" s="9" t="n">
        <v>500</v>
      </c>
      <c r="F10" s="9" t="n">
        <v>440</v>
      </c>
      <c r="G10" s="9">
        <f>(E10*C10+F10*(B10-C10))/B10</f>
        <v/>
      </c>
      <c r="H10" s="23" t="n">
        <v>0.89</v>
      </c>
      <c r="I10" s="23" t="n">
        <v>0.9399999999999999</v>
      </c>
      <c r="J10" s="23">
        <f>(H10*C10+I10*(B10-C10))/B10</f>
        <v/>
      </c>
      <c r="K10" s="27" t="n">
        <v>4</v>
      </c>
      <c r="L10" s="44" t="inlineStr">
        <is>
          <t>Positive</t>
        </is>
      </c>
    </row>
    <row r="11">
      <c r="A11" s="29" t="n">
        <v>10</v>
      </c>
      <c r="B11" s="29" t="n">
        <v>150</v>
      </c>
      <c r="C11" s="29" t="n">
        <v>50</v>
      </c>
      <c r="D11" s="25">
        <f>C11/B11</f>
        <v/>
      </c>
      <c r="E11" s="13" t="n">
        <v>480</v>
      </c>
      <c r="F11" s="13" t="n">
        <v>440</v>
      </c>
      <c r="G11" s="13">
        <f>(E11*C11+F11*(B11-C11))/B11</f>
        <v/>
      </c>
      <c r="H11" s="25" t="n">
        <v>0.91</v>
      </c>
      <c r="I11" s="25" t="n">
        <v>0.9399999999999999</v>
      </c>
      <c r="J11" s="25">
        <f>(H11*C11+I11*(B11-C11))/B11</f>
        <v/>
      </c>
      <c r="K11" s="29" t="n">
        <v>3</v>
      </c>
      <c r="L11" s="35" t="inlineStr">
        <is>
          <t>Positive</t>
        </is>
      </c>
    </row>
    <row r="12">
      <c r="A12" s="27" t="n">
        <v>11</v>
      </c>
      <c r="B12" s="27" t="n">
        <v>150</v>
      </c>
      <c r="C12" s="27" t="n">
        <v>50</v>
      </c>
      <c r="D12" s="23">
        <f>C12/B12</f>
        <v/>
      </c>
      <c r="E12" s="9" t="n">
        <v>465</v>
      </c>
      <c r="F12" s="9" t="n">
        <v>440</v>
      </c>
      <c r="G12" s="9">
        <f>(E12*C12+F12*(B12-C12))/B12</f>
        <v/>
      </c>
      <c r="H12" s="23" t="n">
        <v>0.92</v>
      </c>
      <c r="I12" s="23" t="n">
        <v>0.9399999999999999</v>
      </c>
      <c r="J12" s="23">
        <f>(H12*C12+I12*(B12-C12))/B12</f>
        <v/>
      </c>
      <c r="K12" s="27" t="n">
        <v>2</v>
      </c>
      <c r="L12" s="44" t="inlineStr">
        <is>
          <t>Positive</t>
        </is>
      </c>
    </row>
    <row r="13">
      <c r="A13" s="29" t="n">
        <v>12</v>
      </c>
      <c r="B13" s="29" t="n">
        <v>150</v>
      </c>
      <c r="C13" s="29" t="n">
        <v>50</v>
      </c>
      <c r="D13" s="25">
        <f>C13/B13</f>
        <v/>
      </c>
      <c r="E13" s="13" t="n">
        <v>455</v>
      </c>
      <c r="F13" s="13" t="n">
        <v>440</v>
      </c>
      <c r="G13" s="13">
        <f>(E13*C13+F13*(B13-C13))/B13</f>
        <v/>
      </c>
      <c r="H13" s="25" t="n">
        <v>0.93</v>
      </c>
      <c r="I13" s="25" t="n">
        <v>0.9399999999999999</v>
      </c>
      <c r="J13" s="25">
        <f>(H13*C13+I13*(B13-C13))/B13</f>
        <v/>
      </c>
      <c r="K13" s="29" t="n">
        <v>1</v>
      </c>
      <c r="L13" s="35" t="inlineStr">
        <is>
          <t>Positive</t>
        </is>
      </c>
    </row>
    <row r="14"/>
    <row r="15"/>
    <row r="16">
      <c r="A16" s="84" t="inlineStr">
        <is>
          <t>SURGE RAMP ANALYSIS NOTES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85" t="inlineStr">
        <is>
          <t>• New hires typically reach full proficiency within 10-14 weeks of production start.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85" t="inlineStr">
        <is>
          <t>• Blended AHT and QA scores improve as new hire percentage stabilizes and experience grows.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85" t="inlineStr">
        <is>
          <t>• Weeks 1-4 show highest negative SLA impact due to learning curve.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85" t="inlineStr">
        <is>
          <t>• Positive SLA impact begins once new hire AHT approaches tenured AHT within 15%.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</sheetData>
  <mergeCells count="5">
    <mergeCell ref="A20:L20"/>
    <mergeCell ref="A19:L19"/>
    <mergeCell ref="A17:L17"/>
    <mergeCell ref="A16:D16"/>
    <mergeCell ref="A18:L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20" customWidth="1" min="8" max="8"/>
    <col width="24" customWidth="1" min="9" max="9"/>
    <col width="40" customWidth="1" min="10" max="10"/>
  </cols>
  <sheetData>
    <row r="1" ht="40" customHeight="1">
      <c r="A1" s="79" t="inlineStr">
        <is>
          <t>PENALTY &amp; INCENTIVE CALCULATOR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</row>
    <row r="2">
      <c r="A2" s="81" t="inlineStr">
        <is>
          <t>Current Period Financial Impact Analysis</t>
        </is>
      </c>
    </row>
    <row r="3">
      <c r="A3" s="46" t="inlineStr">
        <is>
          <t>Unit Definitions</t>
        </is>
      </c>
    </row>
    <row r="4">
      <c r="A4" s="47" t="inlineStr">
        <is>
          <t>KPI Name</t>
        </is>
      </c>
      <c r="B4" s="47" t="inlineStr">
        <is>
          <t>Target</t>
        </is>
      </c>
      <c r="C4" s="47" t="inlineStr">
        <is>
          <t>Actual</t>
        </is>
      </c>
      <c r="D4" s="47" t="inlineStr">
        <is>
          <t>Variance</t>
        </is>
      </c>
      <c r="E4" s="47" t="inlineStr">
        <is>
          <t>Threshold Type</t>
        </is>
      </c>
      <c r="F4" s="47" t="inlineStr">
        <is>
          <t>Threshold Value</t>
        </is>
      </c>
      <c r="G4" s="47" t="inlineStr">
        <is>
          <t>Amount Per Unit</t>
        </is>
      </c>
      <c r="H4" s="47" t="inlineStr">
        <is>
          <t>Calculated Impact ($)</t>
        </is>
      </c>
      <c r="I4" s="47" t="inlineStr">
        <is>
          <t>Cumulative Period Impact ($)</t>
        </is>
      </c>
      <c r="J4" s="47" t="inlineStr">
        <is>
          <t>Notes</t>
        </is>
      </c>
    </row>
    <row r="5">
      <c r="A5" s="11" t="inlineStr">
        <is>
          <t>Fill Rate</t>
        </is>
      </c>
      <c r="B5" s="86" t="n">
        <v>0.95</v>
      </c>
      <c r="C5" s="86" t="n">
        <v>0.9</v>
      </c>
      <c r="D5" s="23">
        <f>C5-B5</f>
        <v/>
      </c>
      <c r="E5" s="42" t="inlineStr">
        <is>
          <t>Penalty</t>
        </is>
      </c>
      <c r="F5" s="86" t="n">
        <v>0.85</v>
      </c>
      <c r="G5" s="48" t="n">
        <v>5000</v>
      </c>
      <c r="H5" s="49">
        <f>IF(E5="Penalty",IF(C5&lt;F5,G5*ROUNDUP(ABS(C5-F5)/(0.05),0),0),IF(E5="Incentive",IF(C5&gt;=F5,G5,0),0))</f>
        <v/>
      </c>
      <c r="I5" s="48">
        <f>H5</f>
        <v/>
      </c>
      <c r="J5" s="28" t="inlineStr">
        <is>
          <t>Per 5% below 85% threshold per month</t>
        </is>
      </c>
    </row>
    <row r="6">
      <c r="A6" s="15" t="inlineStr">
        <is>
          <t>Staffing Level Compliance</t>
        </is>
      </c>
      <c r="B6" s="83" t="n">
        <v>1</v>
      </c>
      <c r="C6" s="83" t="n">
        <v>0.96</v>
      </c>
      <c r="D6" s="25">
        <f>C6-B6</f>
        <v/>
      </c>
      <c r="E6" s="34" t="inlineStr">
        <is>
          <t>Neither</t>
        </is>
      </c>
      <c r="F6" s="83" t="n">
        <v>0.9</v>
      </c>
      <c r="G6" s="50" t="n">
        <v>2000</v>
      </c>
      <c r="H6" s="50" t="n">
        <v>0</v>
      </c>
      <c r="I6" s="50">
        <f>H6</f>
        <v/>
      </c>
      <c r="J6" s="31" t="inlineStr">
        <is>
          <t>Per day below 90% threshold</t>
        </is>
      </c>
    </row>
    <row r="7">
      <c r="A7" s="11" t="inlineStr">
        <is>
          <t>Average Handle Time (sec)</t>
        </is>
      </c>
      <c r="B7" s="9" t="n">
        <v>480</v>
      </c>
      <c r="C7" s="9" t="n">
        <v>505</v>
      </c>
      <c r="D7" s="9">
        <f>C7-B7</f>
        <v/>
      </c>
      <c r="E7" s="43" t="inlineStr">
        <is>
          <t>Neither</t>
        </is>
      </c>
      <c r="F7" s="9" t="n">
        <v>600</v>
      </c>
      <c r="G7" s="48" t="n">
        <v>2500</v>
      </c>
      <c r="H7" s="48" t="n">
        <v>0</v>
      </c>
      <c r="I7" s="48">
        <f>H7</f>
        <v/>
      </c>
      <c r="J7" s="28" t="inlineStr">
        <is>
          <t>Per 30 sec above 600 sec threshold per month</t>
        </is>
      </c>
    </row>
    <row r="8">
      <c r="A8" s="15" t="inlineStr">
        <is>
          <t>First Call Resolution</t>
        </is>
      </c>
      <c r="B8" s="83" t="n">
        <v>0.75</v>
      </c>
      <c r="C8" s="83" t="n">
        <v>0.72</v>
      </c>
      <c r="D8" s="25">
        <f>C8-B8</f>
        <v/>
      </c>
      <c r="E8" s="33" t="inlineStr">
        <is>
          <t>Penalty</t>
        </is>
      </c>
      <c r="F8" s="83" t="n">
        <v>0.65</v>
      </c>
      <c r="G8" s="50" t="n">
        <v>3000</v>
      </c>
      <c r="H8" s="51">
        <f>IF(E8="Penalty",IF(C8&lt;F8,G8*ROUNDUP(ABS(C8-F8)/(0.05),0),0),IF(E8="Incentive",IF(C8&gt;=F8,G8,0),0))</f>
        <v/>
      </c>
      <c r="I8" s="50">
        <f>H8</f>
        <v/>
      </c>
      <c r="J8" s="31" t="inlineStr">
        <is>
          <t>Per 5% below 65% threshold per month</t>
        </is>
      </c>
    </row>
    <row r="9">
      <c r="A9" s="11" t="inlineStr">
        <is>
          <t>Abandonment Rate</t>
        </is>
      </c>
      <c r="B9" s="86" t="n">
        <v>0.05</v>
      </c>
      <c r="C9" s="86" t="n">
        <v>0.06</v>
      </c>
      <c r="D9" s="23">
        <f>C9-B9</f>
        <v/>
      </c>
      <c r="E9" s="43" t="inlineStr">
        <is>
          <t>Neither</t>
        </is>
      </c>
      <c r="F9" s="86" t="n">
        <v>0.1</v>
      </c>
      <c r="G9" s="48" t="n">
        <v>2000</v>
      </c>
      <c r="H9" s="48" t="n">
        <v>0</v>
      </c>
      <c r="I9" s="48">
        <f>H9</f>
        <v/>
      </c>
      <c r="J9" s="28" t="inlineStr">
        <is>
          <t>Per 2% above 10% threshold per month</t>
        </is>
      </c>
    </row>
    <row r="10">
      <c r="A10" s="15" t="inlineStr">
        <is>
          <t>Quality Assurance Score</t>
        </is>
      </c>
      <c r="B10" s="83" t="n">
        <v>0.9</v>
      </c>
      <c r="C10" s="83" t="n">
        <v>0.88</v>
      </c>
      <c r="D10" s="25">
        <f>C10-B10</f>
        <v/>
      </c>
      <c r="E10" s="33" t="inlineStr">
        <is>
          <t>Penalty</t>
        </is>
      </c>
      <c r="F10" s="83" t="n">
        <v>0.8</v>
      </c>
      <c r="G10" s="50" t="n">
        <v>3500</v>
      </c>
      <c r="H10" s="51">
        <f>IF(E10="Penalty",IF(C10&lt;F10,G10*ROUNDUP(ABS(C10-F10)/(0.05),0),0),IF(E10="Incentive",IF(C10&gt;=F10,G10,0),0))</f>
        <v/>
      </c>
      <c r="I10" s="50">
        <f>H10</f>
        <v/>
      </c>
      <c r="J10" s="31" t="inlineStr">
        <is>
          <t>Per 5% below 80% threshold per month</t>
        </is>
      </c>
    </row>
    <row r="11">
      <c r="A11" s="11" t="inlineStr">
        <is>
          <t>Customer Satisfaction (CSAT)</t>
        </is>
      </c>
      <c r="B11" s="23" t="n">
        <v>4.2</v>
      </c>
      <c r="C11" s="23" t="n">
        <v>4</v>
      </c>
      <c r="D11" s="23">
        <f>C11-B11</f>
        <v/>
      </c>
      <c r="E11" s="42" t="inlineStr">
        <is>
          <t>Penalty</t>
        </is>
      </c>
      <c r="F11" s="23" t="n">
        <v>3.5</v>
      </c>
      <c r="G11" s="48" t="n">
        <v>4000</v>
      </c>
      <c r="H11" s="49">
        <f>IF(E11="Penalty",IF(C11&lt;F11,G11*ROUNDUP(ABS(C11-F11)/(0.3),0),0),IF(E11="Incentive",IF(C11&gt;=F11,G11,0),0))</f>
        <v/>
      </c>
      <c r="I11" s="48">
        <f>H11</f>
        <v/>
      </c>
      <c r="J11" s="28" t="inlineStr">
        <is>
          <t>Per 0.3 below 3.5 threshold per month</t>
        </is>
      </c>
    </row>
    <row r="12">
      <c r="A12" s="15" t="inlineStr">
        <is>
          <t>Schedule Adherence</t>
        </is>
      </c>
      <c r="B12" s="83" t="n">
        <v>0.92</v>
      </c>
      <c r="C12" s="83" t="n">
        <v>0.9399999999999999</v>
      </c>
      <c r="D12" s="25">
        <f>C12-B12</f>
        <v/>
      </c>
      <c r="E12" s="35" t="inlineStr">
        <is>
          <t>Incentive</t>
        </is>
      </c>
      <c r="F12" s="83" t="n">
        <v>0.96</v>
      </c>
      <c r="G12" s="50" t="n">
        <v>750</v>
      </c>
      <c r="H12" s="52">
        <f>IF(E12="Incentive",IF(C12&gt;=F12,G12,0),0)</f>
        <v/>
      </c>
      <c r="I12" s="50">
        <f>H12</f>
        <v/>
      </c>
      <c r="J12" s="31" t="inlineStr">
        <is>
          <t>Bonus per month at/above 96%</t>
        </is>
      </c>
    </row>
    <row r="13">
      <c r="A13" s="11" t="inlineStr">
        <is>
          <t>On-Time Delivery</t>
        </is>
      </c>
      <c r="B13" s="86" t="n">
        <v>0.98</v>
      </c>
      <c r="C13" s="86" t="n">
        <v>0.99</v>
      </c>
      <c r="D13" s="23">
        <f>C13-B13</f>
        <v/>
      </c>
      <c r="E13" s="44" t="inlineStr">
        <is>
          <t>Incentive</t>
        </is>
      </c>
      <c r="F13" s="86" t="n">
        <v>1</v>
      </c>
      <c r="G13" s="48" t="n">
        <v>1000</v>
      </c>
      <c r="H13" s="53">
        <f>IF(E13="Incentive",IF(C13&gt;=F13,G13,0),0)</f>
        <v/>
      </c>
      <c r="I13" s="48">
        <f>H13</f>
        <v/>
      </c>
      <c r="J13" s="28" t="inlineStr">
        <is>
          <t>Bonus per month at 100%</t>
        </is>
      </c>
    </row>
    <row r="14">
      <c r="A14" s="15" t="inlineStr">
        <is>
          <t>Response Time SLA</t>
        </is>
      </c>
      <c r="B14" s="83" t="n">
        <v>0.95</v>
      </c>
      <c r="C14" s="83" t="n">
        <v>0.97</v>
      </c>
      <c r="D14" s="25">
        <f>C14-B14</f>
        <v/>
      </c>
      <c r="E14" s="35" t="inlineStr">
        <is>
          <t>Incentive</t>
        </is>
      </c>
      <c r="F14" s="83" t="n">
        <v>0.98</v>
      </c>
      <c r="G14" s="50" t="n">
        <v>750</v>
      </c>
      <c r="H14" s="52">
        <f>IF(E14="Incentive",IF(C14&gt;=F14,G14,0),0)</f>
        <v/>
      </c>
      <c r="I14" s="50">
        <f>H14</f>
        <v/>
      </c>
      <c r="J14" s="31" t="inlineStr">
        <is>
          <t>Bonus per month at/above 98%</t>
        </is>
      </c>
    </row>
    <row r="15"/>
    <row r="16"/>
    <row r="17">
      <c r="A17" s="54" t="inlineStr">
        <is>
          <t>FINANCIAL SUMMARY</t>
        </is>
      </c>
      <c r="B17" s="61" t="n"/>
      <c r="C17" s="61" t="n"/>
      <c r="D17" s="62" t="n"/>
    </row>
    <row r="18">
      <c r="A18" s="56" t="inlineStr">
        <is>
          <t>Total Estimated Penalties</t>
        </is>
      </c>
      <c r="B18" s="57">
        <f>SUMPRODUCT((E5:E14="Penalty")*H5:H14)</f>
        <v/>
      </c>
    </row>
    <row r="19">
      <c r="A19" s="58" t="inlineStr">
        <is>
          <t>Total Estimated Incentives</t>
        </is>
      </c>
      <c r="B19" s="59">
        <f>SUMPRODUCT((E5:E14="Incentive")*H5:H14)</f>
        <v/>
      </c>
    </row>
    <row r="20">
      <c r="A20" s="38" t="inlineStr">
        <is>
          <t>Net Financial Impact</t>
        </is>
      </c>
      <c r="B20" s="60">
        <f>B19-B18</f>
        <v/>
      </c>
    </row>
  </sheetData>
  <mergeCells count="4">
    <mergeCell ref="A1:J1"/>
    <mergeCell ref="A3:B3"/>
    <mergeCell ref="A17:D17"/>
    <mergeCell ref="A2:J2"/>
  </mergeCells>
  <dataValidations count="1">
    <dataValidation sqref="E5:E100" showDropDown="0" showInputMessage="0" showErrorMessage="0" allowBlank="1" type="list">
      <formula1>"Penalty,Incentive,Neither"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14" customWidth="1" min="9" max="9"/>
    <col width="20" customWidth="1" min="10" max="10"/>
    <col width="45" customWidth="1" min="11" max="11"/>
    <col width="16" customWidth="1" min="12" max="12"/>
  </cols>
  <sheetData>
    <row r="1" ht="40" customHeight="1">
      <c r="A1" s="1" t="inlineStr">
        <is>
          <t>Alert Type</t>
        </is>
      </c>
      <c r="B1" s="1" t="inlineStr">
        <is>
          <t>Priority</t>
        </is>
      </c>
      <c r="C1" s="1" t="inlineStr">
        <is>
          <t>KPI Name</t>
        </is>
      </c>
      <c r="D1" s="1" t="inlineStr">
        <is>
          <t>Current Value</t>
        </is>
      </c>
      <c r="E1" s="1" t="inlineStr">
        <is>
          <t>Target Value</t>
        </is>
      </c>
      <c r="F1" s="1" t="inlineStr">
        <is>
          <t>Variance</t>
        </is>
      </c>
      <c r="G1" s="1" t="inlineStr">
        <is>
          <t>Date Flagged</t>
        </is>
      </c>
      <c r="H1" s="1" t="inlineStr">
        <is>
          <t>Consecutive Days Below Target</t>
        </is>
      </c>
      <c r="I1" s="1" t="inlineStr">
        <is>
          <t>Status</t>
        </is>
      </c>
      <c r="J1" s="1" t="inlineStr">
        <is>
          <t>Owner</t>
        </is>
      </c>
      <c r="K1" s="1" t="inlineStr">
        <is>
          <t>Action Taken</t>
        </is>
      </c>
      <c r="L1" s="1" t="inlineStr">
        <is>
          <t>Resolution Date</t>
        </is>
      </c>
    </row>
    <row r="2">
      <c r="A2" s="27" t="inlineStr">
        <is>
          <t>Below Minimum Threshold</t>
        </is>
      </c>
      <c r="B2" s="63" t="inlineStr">
        <is>
          <t>High</t>
        </is>
      </c>
      <c r="C2" s="11" t="inlineStr">
        <is>
          <t>Staffing Level Compliance</t>
        </is>
      </c>
      <c r="D2" s="27" t="inlineStr">
        <is>
          <t>88%</t>
        </is>
      </c>
      <c r="E2" s="27" t="inlineStr">
        <is>
          <t>100%</t>
        </is>
      </c>
      <c r="F2" s="27" t="inlineStr">
        <is>
          <t>-12%</t>
        </is>
      </c>
      <c r="G2" s="22" t="n">
        <v>46122</v>
      </c>
      <c r="H2" s="27" t="n">
        <v>5</v>
      </c>
      <c r="I2" s="33" t="inlineStr">
        <is>
          <t>Open</t>
        </is>
      </c>
      <c r="J2" s="11" t="inlineStr">
        <is>
          <t>Operations Manager</t>
        </is>
      </c>
      <c r="K2" s="28" t="inlineStr"/>
      <c r="L2" s="22" t="inlineStr"/>
    </row>
    <row r="3">
      <c r="A3" s="29" t="inlineStr">
        <is>
          <t>Approaching Penalty</t>
        </is>
      </c>
      <c r="B3" s="63" t="inlineStr">
        <is>
          <t>High</t>
        </is>
      </c>
      <c r="C3" s="15" t="inlineStr">
        <is>
          <t>First Call Resolution</t>
        </is>
      </c>
      <c r="D3" s="29" t="inlineStr">
        <is>
          <t>66%</t>
        </is>
      </c>
      <c r="E3" s="29" t="inlineStr">
        <is>
          <t>75%</t>
        </is>
      </c>
      <c r="F3" s="29" t="inlineStr">
        <is>
          <t>-9%</t>
        </is>
      </c>
      <c r="G3" s="24" t="n">
        <v>46124</v>
      </c>
      <c r="H3" s="29" t="n">
        <v>3</v>
      </c>
      <c r="I3" s="34" t="inlineStr">
        <is>
          <t>Monitoring</t>
        </is>
      </c>
      <c r="J3" s="15" t="inlineStr">
        <is>
          <t>Quality Manager</t>
        </is>
      </c>
      <c r="K3" s="31" t="inlineStr">
        <is>
          <t>Targeted coaching initiated for bottom 10 agents</t>
        </is>
      </c>
      <c r="L3" s="24" t="inlineStr"/>
    </row>
    <row r="4">
      <c r="A4" s="27" t="inlineStr">
        <is>
          <t>Declining Trend (3+ days)</t>
        </is>
      </c>
      <c r="B4" s="63" t="inlineStr">
        <is>
          <t>High</t>
        </is>
      </c>
      <c r="C4" s="11" t="inlineStr">
        <is>
          <t>Average Handle Time</t>
        </is>
      </c>
      <c r="D4" s="27" t="inlineStr">
        <is>
          <t>545 sec</t>
        </is>
      </c>
      <c r="E4" s="27" t="inlineStr">
        <is>
          <t>480 sec</t>
        </is>
      </c>
      <c r="F4" s="27" t="inlineStr">
        <is>
          <t>+65 sec</t>
        </is>
      </c>
      <c r="G4" s="22" t="n">
        <v>46120</v>
      </c>
      <c r="H4" s="27" t="n">
        <v>7</v>
      </c>
      <c r="I4" s="34" t="inlineStr">
        <is>
          <t>Monitoring</t>
        </is>
      </c>
      <c r="J4" s="11" t="inlineStr">
        <is>
          <t>Operations Manager</t>
        </is>
      </c>
      <c r="K4" s="28" t="inlineStr">
        <is>
          <t>AHT deep dive scheduled; identified system latency issue</t>
        </is>
      </c>
      <c r="L4" s="22" t="inlineStr"/>
    </row>
    <row r="5">
      <c r="A5" s="29" t="inlineStr">
        <is>
          <t>Customer Complaint Spike</t>
        </is>
      </c>
      <c r="B5" s="63" t="inlineStr">
        <is>
          <t>High</t>
        </is>
      </c>
      <c r="C5" s="15" t="inlineStr">
        <is>
          <t>Complaint Rate</t>
        </is>
      </c>
      <c r="D5" s="29" t="inlineStr">
        <is>
          <t>7.2/1000</t>
        </is>
      </c>
      <c r="E5" s="29" t="inlineStr">
        <is>
          <t>&lt;3/1000</t>
        </is>
      </c>
      <c r="F5" s="29" t="inlineStr">
        <is>
          <t>+4.2/1000</t>
        </is>
      </c>
      <c r="G5" s="24" t="n">
        <v>46126</v>
      </c>
      <c r="H5" s="29" t="n">
        <v>2</v>
      </c>
      <c r="I5" s="33" t="inlineStr">
        <is>
          <t>Open</t>
        </is>
      </c>
      <c r="J5" s="15" t="inlineStr">
        <is>
          <t>CX Manager</t>
        </is>
      </c>
      <c r="K5" s="31" t="inlineStr">
        <is>
          <t>Root cause analysis in progress</t>
        </is>
      </c>
      <c r="L5" s="24" t="inlineStr"/>
    </row>
    <row r="6">
      <c r="A6" s="27" t="inlineStr">
        <is>
          <t>Staffing Shortfall</t>
        </is>
      </c>
      <c r="B6" s="64" t="inlineStr">
        <is>
          <t>Medium</t>
        </is>
      </c>
      <c r="C6" s="11" t="inlineStr">
        <is>
          <t>Fill Rate</t>
        </is>
      </c>
      <c r="D6" s="27" t="inlineStr">
        <is>
          <t>89%</t>
        </is>
      </c>
      <c r="E6" s="27" t="inlineStr">
        <is>
          <t>95%</t>
        </is>
      </c>
      <c r="F6" s="27" t="inlineStr">
        <is>
          <t>-6%</t>
        </is>
      </c>
      <c r="G6" s="22" t="n">
        <v>46117</v>
      </c>
      <c r="H6" s="27" t="n">
        <v>10</v>
      </c>
      <c r="I6" s="34" t="inlineStr">
        <is>
          <t>Monitoring</t>
        </is>
      </c>
      <c r="J6" s="11" t="inlineStr">
        <is>
          <t>Staffing Manager</t>
        </is>
      </c>
      <c r="K6" s="28" t="inlineStr">
        <is>
          <t>Additional recruiting resources deployed; 15 offers extended</t>
        </is>
      </c>
      <c r="L6" s="22" t="inlineStr"/>
    </row>
    <row r="7">
      <c r="A7" s="29" t="inlineStr">
        <is>
          <t>Quality Alert</t>
        </is>
      </c>
      <c r="B7" s="64" t="inlineStr">
        <is>
          <t>Medium</t>
        </is>
      </c>
      <c r="C7" s="15" t="inlineStr">
        <is>
          <t>QA Score</t>
        </is>
      </c>
      <c r="D7" s="29" t="inlineStr">
        <is>
          <t>83%</t>
        </is>
      </c>
      <c r="E7" s="29" t="inlineStr">
        <is>
          <t>90%</t>
        </is>
      </c>
      <c r="F7" s="29" t="inlineStr">
        <is>
          <t>-7%</t>
        </is>
      </c>
      <c r="G7" s="24" t="n">
        <v>46123</v>
      </c>
      <c r="H7" s="29" t="n">
        <v>4</v>
      </c>
      <c r="I7" s="34" t="inlineStr">
        <is>
          <t>Monitoring</t>
        </is>
      </c>
      <c r="J7" s="15" t="inlineStr">
        <is>
          <t>Quality Manager</t>
        </is>
      </c>
      <c r="K7" s="31" t="inlineStr">
        <is>
          <t>Side-by-side coaching sessions scheduled</t>
        </is>
      </c>
      <c r="L7" s="24" t="inlineStr"/>
    </row>
    <row r="8">
      <c r="A8" s="27" t="inlineStr">
        <is>
          <t>Below Minimum Threshold</t>
        </is>
      </c>
      <c r="B8" s="64" t="inlineStr">
        <is>
          <t>Medium</t>
        </is>
      </c>
      <c r="C8" s="11" t="inlineStr">
        <is>
          <t>Schedule Adherence</t>
        </is>
      </c>
      <c r="D8" s="27" t="inlineStr">
        <is>
          <t>86%</t>
        </is>
      </c>
      <c r="E8" s="27" t="inlineStr">
        <is>
          <t>92%</t>
        </is>
      </c>
      <c r="F8" s="27" t="inlineStr">
        <is>
          <t>-6%</t>
        </is>
      </c>
      <c r="G8" s="22" t="n">
        <v>46125</v>
      </c>
      <c r="H8" s="27" t="n">
        <v>3</v>
      </c>
      <c r="I8" s="33" t="inlineStr">
        <is>
          <t>Open</t>
        </is>
      </c>
      <c r="J8" s="11" t="inlineStr">
        <is>
          <t>Team Leads</t>
        </is>
      </c>
      <c r="K8" s="28" t="inlineStr">
        <is>
          <t>Attendance policy reminder issued</t>
        </is>
      </c>
      <c r="L8" s="22" t="inlineStr"/>
    </row>
    <row r="9">
      <c r="A9" s="29" t="inlineStr">
        <is>
          <t>Approaching Penalty</t>
        </is>
      </c>
      <c r="B9" s="64" t="inlineStr">
        <is>
          <t>Medium</t>
        </is>
      </c>
      <c r="C9" s="15" t="inlineStr">
        <is>
          <t>Abandonment Rate</t>
        </is>
      </c>
      <c r="D9" s="29" t="inlineStr">
        <is>
          <t>9.5%</t>
        </is>
      </c>
      <c r="E9" s="29" t="inlineStr">
        <is>
          <t>&lt;5%</t>
        </is>
      </c>
      <c r="F9" s="29" t="inlineStr">
        <is>
          <t>+4.5%</t>
        </is>
      </c>
      <c r="G9" s="24" t="n">
        <v>46121</v>
      </c>
      <c r="H9" s="29" t="n">
        <v>6</v>
      </c>
      <c r="I9" s="34" t="inlineStr">
        <is>
          <t>Monitoring</t>
        </is>
      </c>
      <c r="J9" s="15" t="inlineStr">
        <is>
          <t>WFM Analyst</t>
        </is>
      </c>
      <c r="K9" s="31" t="inlineStr">
        <is>
          <t>Real-time monitoring alerts configured; overtime approved</t>
        </is>
      </c>
      <c r="L9" s="24" t="inlineStr"/>
    </row>
    <row r="10">
      <c r="A10" s="27" t="inlineStr">
        <is>
          <t>Declining Trend (3+ days)</t>
        </is>
      </c>
      <c r="B10" s="65" t="inlineStr">
        <is>
          <t>Low</t>
        </is>
      </c>
      <c r="C10" s="11" t="inlineStr">
        <is>
          <t>CSAT Score</t>
        </is>
      </c>
      <c r="D10" s="27" t="inlineStr">
        <is>
          <t>3.9</t>
        </is>
      </c>
      <c r="E10" s="27" t="inlineStr">
        <is>
          <t>4.2</t>
        </is>
      </c>
      <c r="F10" s="27" t="inlineStr">
        <is>
          <t>-0.3</t>
        </is>
      </c>
      <c r="G10" s="22" t="n">
        <v>46127</v>
      </c>
      <c r="H10" s="27" t="n">
        <v>2</v>
      </c>
      <c r="I10" s="33" t="inlineStr">
        <is>
          <t>Open</t>
        </is>
      </c>
      <c r="J10" s="11" t="inlineStr">
        <is>
          <t>CX Manager</t>
        </is>
      </c>
      <c r="K10" s="28" t="inlineStr">
        <is>
          <t>Survey feedback analysis initiated</t>
        </is>
      </c>
      <c r="L10" s="22" t="inlineStr"/>
    </row>
    <row r="11">
      <c r="A11" s="29" t="inlineStr">
        <is>
          <t>Quality Alert</t>
        </is>
      </c>
      <c r="B11" s="65" t="inlineStr">
        <is>
          <t>Low</t>
        </is>
      </c>
      <c r="C11" s="15" t="inlineStr">
        <is>
          <t>Training Completion</t>
        </is>
      </c>
      <c r="D11" s="29" t="inlineStr">
        <is>
          <t>93%</t>
        </is>
      </c>
      <c r="E11" s="29" t="inlineStr">
        <is>
          <t>98%</t>
        </is>
      </c>
      <c r="F11" s="29" t="inlineStr">
        <is>
          <t>-5%</t>
        </is>
      </c>
      <c r="G11" s="24" t="n">
        <v>46119</v>
      </c>
      <c r="H11" s="29" t="n">
        <v>8</v>
      </c>
      <c r="I11" s="35" t="inlineStr">
        <is>
          <t>Resolved</t>
        </is>
      </c>
      <c r="J11" s="15" t="inlineStr">
        <is>
          <t>Training Manager</t>
        </is>
      </c>
      <c r="K11" s="31" t="inlineStr">
        <is>
          <t>Extended training deadline; additional sessions added</t>
        </is>
      </c>
      <c r="L11" s="24" t="n">
        <v>46130</v>
      </c>
    </row>
  </sheetData>
  <dataValidations count="3">
    <dataValidation sqref="B2:B100" showDropDown="0" showInputMessage="0" showErrorMessage="0" allowBlank="1" type="list">
      <formula1>"High,Medium,Low"</formula1>
    </dataValidation>
    <dataValidation sqref="I2:I100" showDropDown="0" showInputMessage="0" showErrorMessage="0" allowBlank="1" type="list">
      <formula1>"Open,Monitoring,Resolved"</formula1>
    </dataValidation>
    <dataValidation sqref="A2:A100" showDropDown="0" showInputMessage="0" showErrorMessage="0" allowBlank="1" type="list">
      <formula1>"Below Minimum Threshold,Declining Trend (3+ days),Approaching Penalty,Staffing Shortfall,Quality Alert,Customer Complaint Spike"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2026-04-20T23:51:06Z</dcterms:created>
  <dcterms:modified xmlns:dcterms="http://purl.org/dc/terms/" xmlns:xsi="http://www.w3.org/2001/XMLSchema-instance" xsi:type="dcterms:W3CDTF">2026-04-20T23:56:48Z</dcterms:modified>
</cp:coreProperties>
</file>
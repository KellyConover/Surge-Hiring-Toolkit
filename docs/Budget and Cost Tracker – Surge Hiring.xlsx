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Budget Plan" sheetId="2" state="visible" r:id="rId2"/>
    <sheet xmlns:r="http://schemas.openxmlformats.org/officeDocument/2006/relationships" name="Expenditure Log" sheetId="3" state="visible" r:id="rId3"/>
    <sheet xmlns:r="http://schemas.openxmlformats.org/officeDocument/2006/relationships" name="Cost Per Hire Analysis" sheetId="4" state="visible" r:id="rId4"/>
    <sheet xmlns:r="http://schemas.openxmlformats.org/officeDocument/2006/relationships" name="Variance Report" sheetId="5" state="visible" r:id="rId5"/>
    <sheet xmlns:r="http://schemas.openxmlformats.org/officeDocument/2006/relationships" name="Foreca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0"/>
    <numFmt numFmtId="165" formatCode="YYYY-MM-DD"/>
    <numFmt numFmtId="166" formatCode="#,##0.0"/>
    <numFmt numFmtId="167" formatCode="0.0%"/>
    <numFmt numFmtId="168" formatCode="$#,##0"/>
  </numFmts>
  <fonts count="1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F4E79"/>
    </font>
    <font>
      <b val="1"/>
      <color rgb="001F4E79"/>
      <sz val="12"/>
    </font>
    <font>
      <b val="1"/>
      <color rgb="00FFFFFF"/>
    </font>
    <font>
      <b val="1"/>
      <color rgb="00FFFFFF"/>
      <sz val="11"/>
    </font>
    <font>
      <b val="1"/>
    </font>
    <font>
      <b val="1"/>
      <color rgb="00FFFFFF"/>
      <sz val="16"/>
    </font>
    <font>
      <i val="1"/>
      <color rgb="001F4E79"/>
      <sz val="10"/>
    </font>
    <font>
      <b val="1"/>
      <color rgb="00FFFFFF"/>
      <sz val="12"/>
    </font>
    <font>
      <b val="1"/>
      <color rgb="001F4E79"/>
      <sz val="9"/>
    </font>
    <font>
      <b val="1"/>
      <sz val="13"/>
    </font>
    <font>
      <color rgb="00006100"/>
      <sz val="16"/>
    </font>
    <font>
      <color rgb="00006100"/>
    </font>
    <font>
      <color rgb="009C5700"/>
      <sz val="16"/>
    </font>
    <font>
      <color rgb="009C5700"/>
    </font>
    <font>
      <color rgb="009C0006"/>
      <sz val="16"/>
    </font>
    <font>
      <color rgb="009C0006"/>
    </font>
  </fonts>
  <fills count="13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2F7FB"/>
        <bgColor rgb="00F2F7FB"/>
      </patternFill>
    </fill>
    <fill>
      <patternFill patternType="solid">
        <fgColor rgb="002E75B6"/>
        <bgColor rgb="002E75B6"/>
      </patternFill>
    </fill>
    <fill>
      <patternFill patternType="solid">
        <fgColor rgb="00548235"/>
        <bgColor rgb="00548235"/>
      </patternFill>
    </fill>
    <fill>
      <patternFill patternType="solid">
        <fgColor rgb="00E2EFDA"/>
        <bgColor rgb="00E2EFDA"/>
      </patternFill>
    </fill>
    <fill>
      <patternFill patternType="solid">
        <fgColor rgb="007030A0"/>
        <bgColor rgb="007030A0"/>
      </patternFill>
    </fill>
    <fill>
      <patternFill patternType="solid">
        <fgColor rgb="00C00000"/>
        <bgColor rgb="00C00000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3">
    <border>
      <left/>
      <right/>
      <top/>
      <bottom/>
      <diagonal/>
    </border>
    <border>
      <left/>
      <right/>
      <top/>
      <bottom style="medium">
        <color rgb="001F4E79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medium">
        <color rgb="001F4E79"/>
      </bottom>
    </border>
    <border>
      <left style="thin">
        <color rgb="00B4C6E7"/>
      </left>
      <right style="thin">
        <color rgb="00B4C6E7"/>
      </right>
      <top style="medium">
        <color rgb="001F4E79"/>
      </top>
      <bottom style="thin">
        <color rgb="00B4C6E7"/>
      </bottom>
    </border>
    <border>
      <left/>
      <right/>
      <top/>
      <bottom style="medium">
        <color rgb="001F4E79"/>
      </bottom>
      <diagonal/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  <border>
      <left style="medium">
        <color rgb="001F4E79"/>
      </left>
      <right style="thin">
        <color rgb="00B4C6E7"/>
      </right>
      <top style="medium">
        <color rgb="001F4E79"/>
      </top>
      <bottom style="thin">
        <color rgb="00B4C6E7"/>
      </bottom>
    </border>
    <border>
      <left style="thin">
        <color rgb="00B4C6E7"/>
      </left>
      <right style="medium">
        <color rgb="001F4E79"/>
      </right>
      <top style="medium">
        <color rgb="001F4E79"/>
      </top>
      <bottom style="thin">
        <color rgb="00B4C6E7"/>
      </bottom>
    </border>
    <border>
      <left style="medium">
        <color rgb="001F4E79"/>
      </left>
      <right style="thin">
        <color rgb="00B4C6E7"/>
      </right>
      <top style="thin">
        <color rgb="00B4C6E7"/>
      </top>
      <bottom style="medium">
        <color rgb="001F4E79"/>
      </bottom>
    </border>
    <border>
      <left style="thin">
        <color rgb="00B4C6E7"/>
      </left>
      <right style="medium">
        <color rgb="001F4E79"/>
      </right>
      <top style="thin">
        <color rgb="00B4C6E7"/>
      </top>
      <bottom style="medium">
        <color rgb="001F4E79"/>
      </bottom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3" applyAlignment="1" pivotButton="0" quotePrefix="0" xfId="0">
      <alignment horizontal="center" wrapText="1"/>
    </xf>
    <xf numFmtId="0" fontId="0" fillId="4" borderId="2" pivotButton="0" quotePrefix="0" xfId="0"/>
    <xf numFmtId="164" fontId="0" fillId="4" borderId="2" pivotButton="0" quotePrefix="0" xfId="0"/>
    <xf numFmtId="3" fontId="0" fillId="4" borderId="2" pivotButton="0" quotePrefix="0" xfId="0"/>
    <xf numFmtId="165" fontId="0" fillId="4" borderId="2" pivotButton="0" quotePrefix="0" xfId="0"/>
    <xf numFmtId="0" fontId="0" fillId="0" borderId="2" pivotButton="0" quotePrefix="0" xfId="0"/>
    <xf numFmtId="164" fontId="0" fillId="0" borderId="2" pivotButton="0" quotePrefix="0" xfId="0"/>
    <xf numFmtId="3" fontId="0" fillId="0" borderId="2" pivotButton="0" quotePrefix="0" xfId="0"/>
    <xf numFmtId="165" fontId="0" fillId="0" borderId="2" pivotButton="0" quotePrefix="0" xfId="0"/>
    <xf numFmtId="0" fontId="3" fillId="3" borderId="1" pivotButton="0" quotePrefix="0" xfId="0"/>
    <xf numFmtId="0" fontId="0" fillId="0" borderId="1" pivotButton="0" quotePrefix="0" xfId="0"/>
    <xf numFmtId="0" fontId="2" fillId="3" borderId="2" pivotButton="0" quotePrefix="0" xfId="0"/>
    <xf numFmtId="0" fontId="4" fillId="2" borderId="4" pivotButton="0" quotePrefix="0" xfId="0"/>
    <xf numFmtId="164" fontId="4" fillId="2" borderId="4" pivotButton="0" quotePrefix="0" xfId="0"/>
    <xf numFmtId="0" fontId="0" fillId="0" borderId="5" pivotButton="0" quotePrefix="0" xfId="0"/>
    <xf numFmtId="0" fontId="2" fillId="3" borderId="2" applyAlignment="1" pivotButton="0" quotePrefix="0" xfId="0">
      <alignment horizontal="center" wrapText="1"/>
    </xf>
    <xf numFmtId="166" fontId="0" fillId="4" borderId="2" pivotButton="0" quotePrefix="0" xfId="0"/>
    <xf numFmtId="166" fontId="0" fillId="0" borderId="2" pivotButton="0" quotePrefix="0" xfId="0"/>
    <xf numFmtId="166" fontId="0" fillId="4" borderId="2" pivotButton="0" quotePrefix="0" xfId="0"/>
    <xf numFmtId="166" fontId="0" fillId="0" borderId="2" pivotButton="0" quotePrefix="0" xfId="0"/>
    <xf numFmtId="167" fontId="0" fillId="4" borderId="2" pivotButton="0" quotePrefix="0" xfId="0"/>
    <xf numFmtId="167" fontId="0" fillId="0" borderId="2" pivotButton="0" quotePrefix="0" xfId="0"/>
    <xf numFmtId="167" fontId="4" fillId="2" borderId="4" pivotButton="0" quotePrefix="0" xfId="0"/>
    <xf numFmtId="0" fontId="2" fillId="3" borderId="1" applyAlignment="1" pivotButton="0" quotePrefix="0" xfId="0">
      <alignment horizontal="center"/>
    </xf>
    <xf numFmtId="0" fontId="5" fillId="5" borderId="2" pivotButton="0" quotePrefix="0" xfId="0"/>
    <xf numFmtId="0" fontId="0" fillId="5" borderId="2" pivotButton="0" quotePrefix="0" xfId="0"/>
    <xf numFmtId="168" fontId="0" fillId="4" borderId="2" pivotButton="0" quotePrefix="0" xfId="0"/>
    <xf numFmtId="168" fontId="0" fillId="0" borderId="2" pivotButton="0" quotePrefix="0" xfId="0"/>
    <xf numFmtId="0" fontId="6" fillId="3" borderId="2" pivotButton="0" quotePrefix="0" xfId="0"/>
    <xf numFmtId="168" fontId="6" fillId="3" borderId="2" pivotButton="0" quotePrefix="0" xfId="0"/>
    <xf numFmtId="0" fontId="5" fillId="6" borderId="2" pivotButton="0" quotePrefix="0" xfId="0"/>
    <xf numFmtId="0" fontId="0" fillId="6" borderId="2" pivotButton="0" quotePrefix="0" xfId="0"/>
    <xf numFmtId="0" fontId="6" fillId="7" borderId="2" pivotButton="0" quotePrefix="0" xfId="0"/>
    <xf numFmtId="168" fontId="6" fillId="7" borderId="2" pivotButton="0" quotePrefix="0" xfId="0"/>
    <xf numFmtId="0" fontId="5" fillId="8" borderId="2" pivotButton="0" quotePrefix="0" xfId="0"/>
    <xf numFmtId="0" fontId="0" fillId="8" borderId="2" pivotButton="0" quotePrefix="0" xfId="0"/>
    <xf numFmtId="0" fontId="6" fillId="0" borderId="2" pivotButton="0" quotePrefix="0" xfId="0"/>
    <xf numFmtId="168" fontId="6" fillId="0" borderId="2" pivotButton="0" quotePrefix="0" xfId="0"/>
    <xf numFmtId="0" fontId="5" fillId="9" borderId="0" pivotButton="0" quotePrefix="0" xfId="0"/>
    <xf numFmtId="0" fontId="0" fillId="9" borderId="0" pivotButton="0" quotePrefix="0" xfId="0"/>
    <xf numFmtId="2" fontId="0" fillId="4" borderId="2" pivotButton="0" quotePrefix="0" xfId="0"/>
    <xf numFmtId="0" fontId="7" fillId="2" borderId="0" applyAlignment="1" pivotButton="0" quotePrefix="0" xfId="0">
      <alignment horizontal="center"/>
    </xf>
    <xf numFmtId="0" fontId="8" fillId="3" borderId="0" applyAlignment="1" pivotButton="0" quotePrefix="0" xfId="0">
      <alignment horizontal="center"/>
    </xf>
    <xf numFmtId="0" fontId="9" fillId="5" borderId="0" pivotButton="0" quotePrefix="0" xfId="0"/>
    <xf numFmtId="0" fontId="10" fillId="3" borderId="9" applyAlignment="1" pivotButton="0" quotePrefix="0" xfId="0">
      <alignment horizontal="center" wrapText="1"/>
    </xf>
    <xf numFmtId="0" fontId="10" fillId="3" borderId="4" applyAlignment="1" pivotButton="0" quotePrefix="0" xfId="0">
      <alignment horizontal="center" wrapText="1"/>
    </xf>
    <xf numFmtId="0" fontId="10" fillId="3" borderId="10" applyAlignment="1" pivotButton="0" quotePrefix="0" xfId="0">
      <alignment horizontal="center" wrapText="1"/>
    </xf>
    <xf numFmtId="168" fontId="11" fillId="0" borderId="11" applyAlignment="1" pivotButton="0" quotePrefix="0" xfId="0">
      <alignment horizontal="center"/>
    </xf>
    <xf numFmtId="168" fontId="11" fillId="0" borderId="3" applyAlignment="1" pivotButton="0" quotePrefix="0" xfId="0">
      <alignment horizontal="center"/>
    </xf>
    <xf numFmtId="164" fontId="11" fillId="0" borderId="3" applyAlignment="1" pivotButton="0" quotePrefix="0" xfId="0">
      <alignment horizontal="center"/>
    </xf>
    <xf numFmtId="168" fontId="11" fillId="0" borderId="12" applyAlignment="1" pivotButton="0" quotePrefix="0" xfId="0">
      <alignment horizontal="center"/>
    </xf>
    <xf numFmtId="0" fontId="10" fillId="3" borderId="2" applyAlignment="1" pivotButton="0" quotePrefix="0" xfId="0">
      <alignment horizontal="center"/>
    </xf>
    <xf numFmtId="167" fontId="11" fillId="0" borderId="2" applyAlignment="1" pivotButton="0" quotePrefix="0" xfId="0">
      <alignment horizontal="center"/>
    </xf>
    <xf numFmtId="0" fontId="11" fillId="0" borderId="2" applyAlignment="1" pivotButton="0" quotePrefix="0" xfId="0">
      <alignment horizontal="center"/>
    </xf>
    <xf numFmtId="164" fontId="11" fillId="0" borderId="2" applyAlignment="1" pivotButton="0" quotePrefix="0" xfId="0">
      <alignment horizontal="center"/>
    </xf>
    <xf numFmtId="0" fontId="2" fillId="3" borderId="2" applyAlignment="1" pivotButton="0" quotePrefix="0" xfId="0">
      <alignment horizontal="center"/>
    </xf>
    <xf numFmtId="0" fontId="12" fillId="10" borderId="2" applyAlignment="1" pivotButton="0" quotePrefix="0" xfId="0">
      <alignment horizontal="center"/>
    </xf>
    <xf numFmtId="0" fontId="13" fillId="10" borderId="2" pivotButton="0" quotePrefix="0" xfId="0"/>
    <xf numFmtId="0" fontId="14" fillId="11" borderId="2" applyAlignment="1" pivotButton="0" quotePrefix="0" xfId="0">
      <alignment horizontal="center"/>
    </xf>
    <xf numFmtId="0" fontId="15" fillId="11" borderId="2" pivotButton="0" quotePrefix="0" xfId="0"/>
    <xf numFmtId="0" fontId="16" fillId="12" borderId="2" applyAlignment="1" pivotButton="0" quotePrefix="0" xfId="0">
      <alignment horizontal="center"/>
    </xf>
    <xf numFmtId="0" fontId="17" fillId="12" borderId="2" pivotButton="0" quotePrefix="0" xfId="0"/>
    <xf numFmtId="0" fontId="0" fillId="0" borderId="8" pivotButton="0" quotePrefix="0" xfId="0"/>
  </cellXfs>
  <cellStyles count="1">
    <cellStyle name="Normal" xfId="0" builtinId="0" hidden="0"/>
  </cellStyles>
  <dxfs count="3">
    <dxf>
      <font>
        <color rgb="009C0006"/>
      </font>
      <fill>
        <patternFill patternType="solid">
          <fgColor rgb="00FFC7CE"/>
          <bgColor rgb="00FFC7CE"/>
        </patternFill>
      </fill>
    </dxf>
    <dxf>
      <font>
        <color rgb="009C5700"/>
      </font>
      <fill>
        <patternFill patternType="solid">
          <fgColor rgb="00FFEB9C"/>
          <bgColor rgb="00FFEB9C"/>
        </patternFill>
      </fill>
    </dxf>
    <dxf>
      <font>
        <color rgb="00006100"/>
      </font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worksheet" Target="worksheets/sheet2.xml" Id="rId2"/><Relationship Type="http://schemas.openxmlformats.org/officeDocument/2006/relationships/worksheet" Target="worksheets/sheet3.xml" Id="rId3"/><Relationship Type="http://schemas.openxmlformats.org/officeDocument/2006/relationships/worksheet" Target="worksheets/sheet4.xml" Id="rId4"/><Relationship Type="http://schemas.openxmlformats.org/officeDocument/2006/relationships/worksheet" Target="worksheets/sheet5.xml" Id="rId5"/><Relationship Type="http://schemas.openxmlformats.org/officeDocument/2006/relationships/worksheet" Target="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rPr sz="1100" b="1"/>
              <a:t>Budget Allocation by Category</a:t>
            </a:r>
          </a:p>
        </rich>
      </tx>
      <overlay val="0"/>
    </title>
    <plotArea>
      <pieChart>
        <varyColors val="1"/>
        <ser>
          <idx val="0"/>
          <order val="0"/>
          <tx>
            <strRef>
              <f>'Dashboard'!B10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'Dashboard'!$A$11:$A$17</f>
            </numRef>
          </cat>
          <val>
            <numRef>
              <f>'Dashboard'!$B$11:$B$17</f>
            </numRef>
          </val>
        </ser>
        <dLbls>
          <showVal val="0"/>
          <showCatName val="0"/>
          <showSerName val="0"/>
        </dLbls>
        <firstSliceAng val="0"/>
      </pieChart>
    </plotArea>
    <legend>
      <legendPos val="r"/>
      <overlay val="0"/>
      <txPr>
        <a:bodyPr xmlns:a="http://schemas.openxmlformats.org/drawingml/2006/main"/>
        <a:p xmlns:a="http://schemas.openxmlformats.org/drawingml/2006/main">
          <a:pPr>
            <a:defRPr sz="1000" b="0"/>
          </a:pPr>
          <a:r>
            <a:t/>
          </a:r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rPr sz="1100" b="1"/>
              <a:t>Budget vs Actual by Category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'Dashboard'!$A$11:$A$17</f>
            </numRef>
          </cat>
          <val>
            <numRef>
              <f>'Dashboard'!$B$11:$B$17</f>
            </numRef>
          </val>
        </ser>
        <ser>
          <idx val="1"/>
          <order val="1"/>
          <tx>
            <strRef>
              <f>'Dashboard'!C10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'Dashboard'!$A$11:$A$17</f>
            </numRef>
          </cat>
          <val>
            <numRef>
              <f>'Dashboard'!$C$11:$C$17</f>
            </numRef>
          </val>
        </ser>
        <dLbls>
          <showVal val="0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000" b="0"/>
            </a:pPr>
            <a:r>
              <a:t/>
            </a: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1000" b="1"/>
                  <a:t>Amount ($)</a:t>
                </a:r>
              </a:p>
            </rich>
          </tx>
          <overlay val="0"/>
        </title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000" b="0"/>
            </a:pPr>
            <a:r>
              <a:t/>
            </a:r>
          </a:p>
        </txPr>
        <crossAx val="10"/>
      </valAx>
    </plotArea>
    <legend>
      <legendPos val="r"/>
      <overlay val="0"/>
      <txPr>
        <a:bodyPr xmlns:a="http://schemas.openxmlformats.org/drawingml/2006/main"/>
        <a:p xmlns:a="http://schemas.openxmlformats.org/drawingml/2006/main">
          <a:pPr>
            <a:defRPr sz="1000" b="0"/>
          </a:pPr>
          <a:r>
            <a:t/>
          </a:r>
        </a:p>
      </txPr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rPr sz="1100" b="1"/>
              <a:t>Monthly Burn Rate Trend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'Dashboard'!B28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'Dashboard'!$A$29:$A$40</f>
            </numRef>
          </cat>
          <val>
            <numRef>
              <f>'Dashboard'!$B$29:$B$40</f>
            </numRef>
          </val>
        </ser>
        <ser>
          <idx val="1"/>
          <order val="1"/>
          <tx>
            <strRef>
              <f>'Dashboard'!C28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'Dashboard'!$A$29:$A$40</f>
            </numRef>
          </cat>
          <val>
            <numRef>
              <f>'Dashboard'!$C$29:$C$40</f>
            </numRef>
          </val>
        </ser>
        <dLbls>
          <showVal val="0"/>
          <showCatName val="0"/>
          <showSerName val="0"/>
        </dLbls>
        <marker val="1"/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1000" b="1"/>
                  <a:t>Month</a:t>
                </a:r>
              </a:p>
            </rich>
          </tx>
          <overlay val="0"/>
        </title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000" b="0"/>
            </a:pPr>
            <a:r>
              <a:t/>
            </a: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1000" b="1"/>
                  <a:t>Amount ($)</a:t>
                </a:r>
              </a:p>
            </rich>
          </tx>
          <overlay val="0"/>
        </title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000" b="0"/>
            </a:pPr>
            <a:r>
              <a:t/>
            </a:r>
          </a:p>
        </txPr>
        <crossAx val="10"/>
      </valAx>
    </plotArea>
    <legend>
      <legendPos val="r"/>
      <overlay val="0"/>
      <txPr>
        <a:bodyPr xmlns:a="http://schemas.openxmlformats.org/drawingml/2006/main"/>
        <a:p xmlns:a="http://schemas.openxmlformats.org/drawingml/2006/main">
          <a:pPr>
            <a:defRPr sz="1000" b="0"/>
          </a:pPr>
          <a:r>
            <a:t/>
          </a:r>
        </a:p>
      </txPr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rPr sz="1100" b="1"/>
              <a:t>Cumulative Planned vs Actual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'Forecast'!D24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'Forecast'!$D$2:$O$2</f>
            </numRef>
          </cat>
          <val>
            <numRef>
              <f>'Forecast'!$E$24:$O$24</f>
            </numRef>
          </val>
        </ser>
        <ser>
          <idx val="1"/>
          <order val="1"/>
          <tx>
            <strRef>
              <f>'Forecast'!D25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'Forecast'!$D$2:$O$2</f>
            </numRef>
          </cat>
          <val>
            <numRef>
              <f>'Forecast'!$E$25:$O$25</f>
            </numRef>
          </val>
        </ser>
        <dLbls>
          <showVal val="0"/>
          <showCatName val="0"/>
          <showSerName val="0"/>
        </dLbls>
        <marker val="1"/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1000" b="1"/>
                  <a:t>Month</a:t>
                </a:r>
              </a:p>
            </rich>
          </tx>
          <overlay val="0"/>
        </title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000" b="0"/>
            </a:pPr>
            <a:r>
              <a:t/>
            </a: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1000" b="1"/>
                  <a:t>Amount ($)</a:t>
                </a:r>
              </a:p>
            </rich>
          </tx>
          <overlay val="0"/>
        </title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000" b="0"/>
            </a:pPr>
            <a:r>
              <a:t/>
            </a:r>
          </a:p>
        </txPr>
        <crossAx val="10"/>
      </valAx>
    </plotArea>
    <legend>
      <legendPos val="r"/>
      <overlay val="0"/>
      <txPr>
        <a:bodyPr xmlns:a="http://schemas.openxmlformats.org/drawingml/2006/main"/>
        <a:p xmlns:a="http://schemas.openxmlformats.org/drawingml/2006/main">
          <a:pPr>
            <a:defRPr sz="1000" b="0"/>
          </a:pPr>
          <a:r>
            <a:t/>
          </a: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../charts/chart1.xml" Id="rId1"/><Relationship Type="http://schemas.openxmlformats.org/officeDocument/2006/relationships/chart" Target="../charts/chart2.xml" Id="rId2"/><Relationship Type="http://schemas.openxmlformats.org/officeDocument/2006/relationships/chart" Target="..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../charts/chart4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3</row>
      <rowOff>0</rowOff>
    </from>
    <ext cx="50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21</row>
      <rowOff>0</rowOff>
    </from>
    <ext cx="504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39</row>
      <rowOff>0</rowOff>
    </from>
    <ext cx="504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32</row>
      <rowOff>0</rowOff>
    </from>
    <ext cx="50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..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..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4" customWidth="1" min="5" max="5"/>
    <col width="16" customWidth="1" min="6" max="6"/>
    <col width="3" customWidth="1" min="7" max="7"/>
    <col width="5" customWidth="1" min="8" max="8"/>
    <col width="20" customWidth="1" min="9" max="9"/>
    <col width="14" customWidth="1" min="10" max="10"/>
    <col width="10" customWidth="1" min="11" max="11"/>
    <col width="10" customWidth="1" min="12" max="12"/>
  </cols>
  <sheetData>
    <row r="1" ht="36" customHeight="1">
      <c r="A1" s="43" t="inlineStr">
        <is>
          <t>BUDGET &amp; COST TRACKER — Government Contract Remote Surge Hiring</t>
        </is>
      </c>
    </row>
    <row r="2" ht="22" customHeight="1">
      <c r="A2" s="44" t="inlineStr">
        <is>
          <t>Prepared for Kelly  |  Generated: 20 April 2026  |  Plain Dealing, LA</t>
        </is>
      </c>
    </row>
    <row r="3"/>
    <row r="4" ht="26" customHeight="1">
      <c r="A4" s="45" t="inlineStr">
        <is>
          <t>EXECUTIVE SUMMARY</t>
        </is>
      </c>
    </row>
    <row r="5">
      <c r="A5" s="46" t="inlineStr">
        <is>
          <t>Total Budget</t>
        </is>
      </c>
      <c r="B5" s="47" t="inlineStr">
        <is>
          <t>Total Spent</t>
        </is>
      </c>
      <c r="C5" s="47" t="inlineStr">
        <is>
          <t>Remaining Budget</t>
        </is>
      </c>
      <c r="D5" s="47" t="inlineStr">
        <is>
          <t>Burn Rate ($/day)</t>
        </is>
      </c>
      <c r="E5" s="47" t="inlineStr">
        <is>
          <t>Projected Final Cost</t>
        </is>
      </c>
      <c r="F5" s="48" t="inlineStr">
        <is>
          <t>Variance ($)</t>
        </is>
      </c>
    </row>
    <row r="6">
      <c r="A6" s="49">
        <f>'Variance Report'!B10</f>
        <v/>
      </c>
      <c r="B6" s="50">
        <f>'Variance Report'!C10</f>
        <v/>
      </c>
      <c r="C6" s="50">
        <f>'Variance Report'!D10</f>
        <v/>
      </c>
      <c r="D6" s="51">
        <f>IF('Expenditure Log'!A22="",0,'Expenditure Log'!M22/('Expenditure Log'!A22-'Expenditure Log'!A3))</f>
        <v/>
      </c>
      <c r="E6" s="50">
        <f>'Forecast'!B31</f>
        <v/>
      </c>
      <c r="F6" s="52">
        <f>'Variance Report'!D10</f>
        <v/>
      </c>
    </row>
    <row r="7">
      <c r="A7" s="53" t="inlineStr">
        <is>
          <t>Variance (%)</t>
        </is>
      </c>
      <c r="B7" s="54">
        <f>'Variance Report'!E10</f>
        <v/>
      </c>
      <c r="C7" s="53" t="inlineStr">
        <is>
          <t>Overall Status</t>
        </is>
      </c>
      <c r="D7" s="55">
        <f>IF(B7&lt;0,"OVER BUDGET",IF(B7&lt;=0.1,"ON TRACK","UNDER BUDGET"))</f>
        <v/>
      </c>
      <c r="E7" s="53" t="inlineStr">
        <is>
          <t>Cost Per Hire</t>
        </is>
      </c>
      <c r="F7" s="56">
        <f>'Cost Per Hire Analysis'!B22</f>
        <v/>
      </c>
    </row>
    <row r="8"/>
    <row r="9" ht="26" customHeight="1">
      <c r="A9" s="45" t="inlineStr">
        <is>
          <t>COST BREAKDOWN BY CATEGORY</t>
        </is>
      </c>
    </row>
    <row r="10">
      <c r="A10" s="57" t="inlineStr">
        <is>
          <t>Category</t>
        </is>
      </c>
      <c r="B10" s="57" t="inlineStr">
        <is>
          <t>Budgeted</t>
        </is>
      </c>
      <c r="C10" s="57" t="inlineStr">
        <is>
          <t>Actual</t>
        </is>
      </c>
      <c r="D10" s="57" t="inlineStr">
        <is>
          <t>Variance ($)</t>
        </is>
      </c>
      <c r="E10" s="57" t="inlineStr">
        <is>
          <t>Variance (%)</t>
        </is>
      </c>
      <c r="F10" s="57" t="inlineStr">
        <is>
          <t>Status</t>
        </is>
      </c>
    </row>
    <row r="11">
      <c r="A11" s="3" t="inlineStr">
        <is>
          <t>Recruiting</t>
        </is>
      </c>
      <c r="B11" s="28">
        <f>'Variance Report'!B3</f>
        <v/>
      </c>
      <c r="C11" s="28">
        <f>'Variance Report'!C3</f>
        <v/>
      </c>
      <c r="D11" s="28">
        <f>'Variance Report'!D3</f>
        <v/>
      </c>
      <c r="E11" s="22">
        <f>'Variance Report'!E3</f>
        <v/>
      </c>
      <c r="F11" s="3">
        <f>'Variance Report'!F3</f>
        <v/>
      </c>
    </row>
    <row r="12">
      <c r="A12" s="7" t="inlineStr">
        <is>
          <t>Equipment/IT</t>
        </is>
      </c>
      <c r="B12" s="29">
        <f>'Variance Report'!B4</f>
        <v/>
      </c>
      <c r="C12" s="29">
        <f>'Variance Report'!C4</f>
        <v/>
      </c>
      <c r="D12" s="29">
        <f>'Variance Report'!D4</f>
        <v/>
      </c>
      <c r="E12" s="23">
        <f>'Variance Report'!E4</f>
        <v/>
      </c>
      <c r="F12" s="7">
        <f>'Variance Report'!F4</f>
        <v/>
      </c>
    </row>
    <row r="13">
      <c r="A13" s="3" t="inlineStr">
        <is>
          <t>Training</t>
        </is>
      </c>
      <c r="B13" s="28">
        <f>'Variance Report'!B5</f>
        <v/>
      </c>
      <c r="C13" s="28">
        <f>'Variance Report'!C5</f>
        <v/>
      </c>
      <c r="D13" s="28">
        <f>'Variance Report'!D5</f>
        <v/>
      </c>
      <c r="E13" s="22">
        <f>'Variance Report'!E5</f>
        <v/>
      </c>
      <c r="F13" s="3">
        <f>'Variance Report'!F5</f>
        <v/>
      </c>
    </row>
    <row r="14">
      <c r="A14" s="7" t="inlineStr">
        <is>
          <t>Personnel</t>
        </is>
      </c>
      <c r="B14" s="29">
        <f>'Variance Report'!B6</f>
        <v/>
      </c>
      <c r="C14" s="29">
        <f>'Variance Report'!C6</f>
        <v/>
      </c>
      <c r="D14" s="29">
        <f>'Variance Report'!D6</f>
        <v/>
      </c>
      <c r="E14" s="23">
        <f>'Variance Report'!E6</f>
        <v/>
      </c>
      <c r="F14" s="7">
        <f>'Variance Report'!F6</f>
        <v/>
      </c>
    </row>
    <row r="15">
      <c r="A15" s="3" t="inlineStr">
        <is>
          <t>Background/Clearance</t>
        </is>
      </c>
      <c r="B15" s="28">
        <f>'Variance Report'!B7</f>
        <v/>
      </c>
      <c r="C15" s="28">
        <f>'Variance Report'!C7</f>
        <v/>
      </c>
      <c r="D15" s="28">
        <f>'Variance Report'!D7</f>
        <v/>
      </c>
      <c r="E15" s="22">
        <f>'Variance Report'!E7</f>
        <v/>
      </c>
      <c r="F15" s="3">
        <f>'Variance Report'!F7</f>
        <v/>
      </c>
    </row>
    <row r="16">
      <c r="A16" s="7" t="inlineStr">
        <is>
          <t>Overhead</t>
        </is>
      </c>
      <c r="B16" s="29">
        <f>'Variance Report'!B8</f>
        <v/>
      </c>
      <c r="C16" s="29">
        <f>'Variance Report'!C8</f>
        <v/>
      </c>
      <c r="D16" s="29">
        <f>'Variance Report'!D8</f>
        <v/>
      </c>
      <c r="E16" s="23">
        <f>'Variance Report'!E8</f>
        <v/>
      </c>
      <c r="F16" s="7">
        <f>'Variance Report'!F8</f>
        <v/>
      </c>
    </row>
    <row r="17">
      <c r="A17" s="3" t="inlineStr">
        <is>
          <t>Contingency</t>
        </is>
      </c>
      <c r="B17" s="28">
        <f>'Variance Report'!B9</f>
        <v/>
      </c>
      <c r="C17" s="28">
        <f>'Variance Report'!C9</f>
        <v/>
      </c>
      <c r="D17" s="28">
        <f>'Variance Report'!D9</f>
        <v/>
      </c>
      <c r="E17" s="22">
        <f>'Variance Report'!E9</f>
        <v/>
      </c>
      <c r="F17" s="3">
        <f>'Variance Report'!F9</f>
        <v/>
      </c>
    </row>
    <row r="18"/>
    <row r="19" ht="26" customHeight="1">
      <c r="A19" s="45" t="inlineStr">
        <is>
          <t>BUDGET vs ACTUAL BY PHASE</t>
        </is>
      </c>
    </row>
    <row r="20">
      <c r="A20" s="57" t="inlineStr">
        <is>
          <t>Phase</t>
        </is>
      </c>
      <c r="B20" s="57" t="inlineStr">
        <is>
          <t>Budgeted</t>
        </is>
      </c>
      <c r="C20" s="57" t="inlineStr">
        <is>
          <t>Actual</t>
        </is>
      </c>
      <c r="D20" s="57" t="inlineStr">
        <is>
          <t>Variance ($)</t>
        </is>
      </c>
      <c r="E20" s="57" t="inlineStr">
        <is>
          <t>Variance (%)</t>
        </is>
      </c>
      <c r="F20" s="57" t="inlineStr">
        <is>
          <t>Status</t>
        </is>
      </c>
    </row>
    <row r="21">
      <c r="A21" s="3" t="inlineStr">
        <is>
          <t>Pre-Planning</t>
        </is>
      </c>
      <c r="B21" s="28" t="n">
        <v>25000</v>
      </c>
      <c r="C21" s="28" t="n">
        <v>18500</v>
      </c>
      <c r="D21" s="28">
        <f>B21-C21</f>
        <v/>
      </c>
      <c r="E21" s="22">
        <f>IF(B21=0,0,D21/B21)</f>
        <v/>
      </c>
      <c r="F21" s="3">
        <f>IF(D21&lt;0,"Over Budget",IF(E21&lt;=0.1,"On Track","Under Budget"))</f>
        <v/>
      </c>
    </row>
    <row r="22">
      <c r="A22" s="7" t="inlineStr">
        <is>
          <t>Activation</t>
        </is>
      </c>
      <c r="B22" s="29" t="n">
        <v>85000</v>
      </c>
      <c r="C22" s="29" t="n">
        <v>78300</v>
      </c>
      <c r="D22" s="29">
        <f>B22-C22</f>
        <v/>
      </c>
      <c r="E22" s="23">
        <f>IF(B22=0,0,D22/B22)</f>
        <v/>
      </c>
      <c r="F22" s="7">
        <f>IF(D22&lt;0,"Over Budget",IF(E22&lt;=0.1,"On Track","Under Budget"))</f>
        <v/>
      </c>
    </row>
    <row r="23">
      <c r="A23" s="3" t="inlineStr">
        <is>
          <t>Onboarding</t>
        </is>
      </c>
      <c r="B23" s="28" t="n">
        <v>150000</v>
      </c>
      <c r="C23" s="28" t="n">
        <v>142900</v>
      </c>
      <c r="D23" s="28">
        <f>B23-C23</f>
        <v/>
      </c>
      <c r="E23" s="22">
        <f>IF(B23=0,0,D23/B23)</f>
        <v/>
      </c>
      <c r="F23" s="3">
        <f>IF(D23&lt;0,"Over Budget",IF(E23&lt;=0.1,"On Track","Under Budget"))</f>
        <v/>
      </c>
    </row>
    <row r="24">
      <c r="A24" s="7" t="inlineStr">
        <is>
          <t>Sustain</t>
        </is>
      </c>
      <c r="B24" s="29" t="n">
        <v>180000</v>
      </c>
      <c r="C24" s="29" t="n">
        <v>0</v>
      </c>
      <c r="D24" s="29">
        <f>B24-C24</f>
        <v/>
      </c>
      <c r="E24" s="23">
        <f>IF(B24=0,0,D24/B24)</f>
        <v/>
      </c>
      <c r="F24" s="7">
        <f>IF(D24&lt;0,"Over Budget",IF(E24&lt;=0.1,"On Track","Under Budget"))</f>
        <v/>
      </c>
    </row>
    <row r="25">
      <c r="A25" s="3" t="inlineStr">
        <is>
          <t>Close-Out</t>
        </is>
      </c>
      <c r="B25" s="28" t="n">
        <v>30000</v>
      </c>
      <c r="C25" s="28" t="n">
        <v>0</v>
      </c>
      <c r="D25" s="28">
        <f>B25-C25</f>
        <v/>
      </c>
      <c r="E25" s="22">
        <f>IF(B25=0,0,D25/B25)</f>
        <v/>
      </c>
      <c r="F25" s="3">
        <f>IF(D25&lt;0,"Over Budget",IF(E25&lt;=0.1,"On Track","Under Budget"))</f>
        <v/>
      </c>
    </row>
    <row r="26"/>
    <row r="27" ht="26" customHeight="1">
      <c r="A27" s="45" t="inlineStr">
        <is>
          <t>MONTHLY BURN RATE TREND</t>
        </is>
      </c>
      <c r="H27" s="45" t="inlineStr">
        <is>
          <t>TRAFFIC LIGHT LEGEND</t>
        </is>
      </c>
    </row>
    <row r="28">
      <c r="A28" s="57" t="inlineStr">
        <is>
          <t>Month</t>
        </is>
      </c>
      <c r="B28" s="57" t="inlineStr">
        <is>
          <t>Planned Spend</t>
        </is>
      </c>
      <c r="C28" s="57" t="inlineStr">
        <is>
          <t>Actual Spend</t>
        </is>
      </c>
      <c r="D28" s="57" t="inlineStr">
        <is>
          <t>Cumulative Actual</t>
        </is>
      </c>
      <c r="H28" s="58" t="inlineStr">
        <is>
          <t>●</t>
        </is>
      </c>
      <c r="I28" s="59" t="inlineStr">
        <is>
          <t>Green — Under Budget (&gt;10% remaining)</t>
        </is>
      </c>
      <c r="J28" s="59" t="n"/>
      <c r="K28" s="59" t="n"/>
      <c r="L28" s="59" t="n"/>
    </row>
    <row r="29">
      <c r="A29" s="3" t="inlineStr">
        <is>
          <t>Month 1</t>
        </is>
      </c>
      <c r="B29" s="28">
        <f>Forecast!D11</f>
        <v/>
      </c>
      <c r="C29" s="28">
        <f>Forecast!D20</f>
        <v/>
      </c>
      <c r="D29" s="28">
        <f>C29</f>
        <v/>
      </c>
      <c r="H29" s="60" t="inlineStr">
        <is>
          <t>●</t>
        </is>
      </c>
      <c r="I29" s="61" t="inlineStr">
        <is>
          <t>Yellow — On Track (within 10%)</t>
        </is>
      </c>
      <c r="J29" s="61" t="n"/>
      <c r="K29" s="61" t="n"/>
      <c r="L29" s="61" t="n"/>
    </row>
    <row r="30">
      <c r="A30" s="7" t="inlineStr">
        <is>
          <t>Month 2</t>
        </is>
      </c>
      <c r="B30" s="29">
        <f>Forecast!E11</f>
        <v/>
      </c>
      <c r="C30" s="29">
        <f>Forecast!E20</f>
        <v/>
      </c>
      <c r="D30" s="29">
        <f>D29+C30</f>
        <v/>
      </c>
      <c r="H30" s="62" t="inlineStr">
        <is>
          <t>●</t>
        </is>
      </c>
      <c r="I30" s="63" t="inlineStr">
        <is>
          <t>Red — Over Budget (exceeds budget)</t>
        </is>
      </c>
      <c r="J30" s="63" t="n"/>
      <c r="K30" s="63" t="n"/>
      <c r="L30" s="63" t="n"/>
    </row>
    <row r="31">
      <c r="A31" s="3" t="inlineStr">
        <is>
          <t>Month 3</t>
        </is>
      </c>
      <c r="B31" s="28">
        <f>Forecast!F11</f>
        <v/>
      </c>
      <c r="C31" s="28">
        <f>Forecast!F20</f>
        <v/>
      </c>
      <c r="D31" s="28">
        <f>D30+C31</f>
        <v/>
      </c>
    </row>
    <row r="32">
      <c r="A32" s="7" t="inlineStr">
        <is>
          <t>Month 4</t>
        </is>
      </c>
      <c r="B32" s="29">
        <f>Forecast!G11</f>
        <v/>
      </c>
      <c r="C32" s="29">
        <f>Forecast!G20</f>
        <v/>
      </c>
      <c r="D32" s="29">
        <f>D31+C32</f>
        <v/>
      </c>
    </row>
    <row r="33">
      <c r="A33" s="3" t="inlineStr">
        <is>
          <t>Month 5</t>
        </is>
      </c>
      <c r="B33" s="28">
        <f>Forecast!H11</f>
        <v/>
      </c>
      <c r="C33" s="28">
        <f>Forecast!H20</f>
        <v/>
      </c>
      <c r="D33" s="28">
        <f>D32+C33</f>
        <v/>
      </c>
    </row>
    <row r="34">
      <c r="A34" s="7" t="inlineStr">
        <is>
          <t>Month 6</t>
        </is>
      </c>
      <c r="B34" s="29">
        <f>Forecast!I11</f>
        <v/>
      </c>
      <c r="C34" s="29">
        <f>Forecast!I20</f>
        <v/>
      </c>
      <c r="D34" s="29">
        <f>D33+C34</f>
        <v/>
      </c>
    </row>
    <row r="35">
      <c r="A35" s="3" t="inlineStr">
        <is>
          <t>Month 7</t>
        </is>
      </c>
      <c r="B35" s="28">
        <f>Forecast!J11</f>
        <v/>
      </c>
      <c r="C35" s="28">
        <f>Forecast!J20</f>
        <v/>
      </c>
      <c r="D35" s="28">
        <f>D34+C35</f>
        <v/>
      </c>
    </row>
    <row r="36">
      <c r="A36" s="7" t="inlineStr">
        <is>
          <t>Month 8</t>
        </is>
      </c>
      <c r="B36" s="29">
        <f>Forecast!K11</f>
        <v/>
      </c>
      <c r="C36" s="29">
        <f>Forecast!K20</f>
        <v/>
      </c>
      <c r="D36" s="29">
        <f>D35+C36</f>
        <v/>
      </c>
    </row>
    <row r="37">
      <c r="A37" s="3" t="inlineStr">
        <is>
          <t>Month 9</t>
        </is>
      </c>
      <c r="B37" s="28">
        <f>Forecast!L11</f>
        <v/>
      </c>
      <c r="C37" s="28">
        <f>Forecast!L20</f>
        <v/>
      </c>
      <c r="D37" s="28">
        <f>D36+C37</f>
        <v/>
      </c>
    </row>
    <row r="38">
      <c r="A38" s="7" t="inlineStr">
        <is>
          <t>Month 10</t>
        </is>
      </c>
      <c r="B38" s="29">
        <f>Forecast!M11</f>
        <v/>
      </c>
      <c r="C38" s="29">
        <f>Forecast!M20</f>
        <v/>
      </c>
      <c r="D38" s="29">
        <f>D37+C38</f>
        <v/>
      </c>
    </row>
    <row r="39">
      <c r="A39" s="3" t="inlineStr">
        <is>
          <t>Month 11</t>
        </is>
      </c>
      <c r="B39" s="28">
        <f>Forecast!N11</f>
        <v/>
      </c>
      <c r="C39" s="28">
        <f>Forecast!N20</f>
        <v/>
      </c>
      <c r="D39" s="28">
        <f>D38+C39</f>
        <v/>
      </c>
    </row>
    <row r="40">
      <c r="A40" s="7" t="inlineStr">
        <is>
          <t>Month 12</t>
        </is>
      </c>
      <c r="B40" s="29">
        <f>Forecast!O11</f>
        <v/>
      </c>
      <c r="C40" s="29">
        <f>Forecast!O20</f>
        <v/>
      </c>
      <c r="D40" s="29">
        <f>D39+C40</f>
        <v/>
      </c>
    </row>
  </sheetData>
  <mergeCells count="7">
    <mergeCell ref="H27:L27"/>
    <mergeCell ref="A2:L2"/>
    <mergeCell ref="A19:F19"/>
    <mergeCell ref="A1:L1"/>
    <mergeCell ref="A9:F9"/>
    <mergeCell ref="A27:F27"/>
    <mergeCell ref="A4:F4"/>
  </mergeCells>
  <conditionalFormatting sqref="F11:F17">
    <cfRule type="cellIs" priority="1" operator="equal" dxfId="0">
      <formula>"Over Budget"</formula>
    </cfRule>
    <cfRule type="cellIs" priority="2" operator="equal" dxfId="1">
      <formula>"On Track"</formula>
    </cfRule>
    <cfRule type="cellIs" priority="3" operator="equal" dxfId="2">
      <formula>"Under Budget"</formula>
    </cfRule>
  </conditionalFormatting>
  <conditionalFormatting sqref="F21:F25">
    <cfRule type="cellIs" priority="4" operator="equal" dxfId="0">
      <formula>"Over Budget"</formula>
    </cfRule>
    <cfRule type="cellIs" priority="5" operator="equal" dxfId="1">
      <formula>"On Track"</formula>
    </cfRule>
    <cfRule type="cellIs" priority="6" operator="equal" dxfId="2">
      <formula>"Under Budget"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45" customWidth="1" min="3" max="3"/>
    <col width="14" customWidth="1" min="4" max="4"/>
    <col width="10" customWidth="1" min="5" max="5"/>
    <col width="18" customWidth="1" min="6" max="6"/>
    <col width="16" customWidth="1" min="7" max="7"/>
    <col width="16" customWidth="1" min="8" max="8"/>
    <col width="25" customWidth="1" min="9" max="9"/>
  </cols>
  <sheetData>
    <row r="1" ht="30" customHeight="1">
      <c r="A1" s="1" t="inlineStr">
        <is>
          <t>Budget Plan — Government Contract Remote Surge Hiring</t>
        </is>
      </c>
    </row>
    <row r="2" ht="24" customHeight="1">
      <c r="A2" s="2" t="inlineStr">
        <is>
          <t>Line Item</t>
        </is>
      </c>
      <c r="B2" s="2" t="inlineStr">
        <is>
          <t>Category</t>
        </is>
      </c>
      <c r="C2" s="2" t="inlineStr">
        <is>
          <t>Description</t>
        </is>
      </c>
      <c r="D2" s="2" t="inlineStr">
        <is>
          <t>Unit Cost</t>
        </is>
      </c>
      <c r="E2" s="2" t="inlineStr">
        <is>
          <t>Quantity</t>
        </is>
      </c>
      <c r="F2" s="2" t="inlineStr">
        <is>
          <t>Total Budgeted</t>
        </is>
      </c>
      <c r="G2" s="2" t="inlineStr">
        <is>
          <t>Approved By</t>
        </is>
      </c>
      <c r="H2" s="2" t="inlineStr">
        <is>
          <t>Approval Date</t>
        </is>
      </c>
      <c r="I2" s="2" t="inlineStr">
        <is>
          <t>Notes</t>
        </is>
      </c>
    </row>
    <row r="3">
      <c r="A3" s="3" t="inlineStr">
        <is>
          <t>Job Board Postings (USAJobs, ClearanceJobs)</t>
        </is>
      </c>
      <c r="B3" s="3" t="inlineStr">
        <is>
          <t>Recruiting</t>
        </is>
      </c>
      <c r="C3" s="3" t="inlineStr">
        <is>
          <t>Annual posting fees for multiple job boards</t>
        </is>
      </c>
      <c r="D3" s="4" t="n">
        <v>2500</v>
      </c>
      <c r="E3" s="5" t="n">
        <v>6</v>
      </c>
      <c r="F3" s="4">
        <f>D3*E3</f>
        <v/>
      </c>
      <c r="G3" s="3" t="inlineStr"/>
      <c r="H3" s="6" t="inlineStr"/>
      <c r="I3" s="3" t="inlineStr"/>
    </row>
    <row r="4">
      <c r="A4" s="7" t="inlineStr">
        <is>
          <t>Recruiter Hours — Internal</t>
        </is>
      </c>
      <c r="B4" s="7" t="inlineStr">
        <is>
          <t>Recruiting</t>
        </is>
      </c>
      <c r="C4" s="7" t="inlineStr">
        <is>
          <t>Dedicated recruiter FTE hours for surge</t>
        </is>
      </c>
      <c r="D4" s="8" t="n">
        <v>75</v>
      </c>
      <c r="E4" s="9" t="n">
        <v>480</v>
      </c>
      <c r="F4" s="8">
        <f>D4*E4</f>
        <v/>
      </c>
      <c r="G4" s="7" t="inlineStr"/>
      <c r="H4" s="10" t="inlineStr"/>
      <c r="I4" s="7" t="inlineStr"/>
    </row>
    <row r="5">
      <c r="A5" s="3" t="inlineStr">
        <is>
          <t>Assessment Tools &amp; Licensing</t>
        </is>
      </c>
      <c r="B5" s="3" t="inlineStr">
        <is>
          <t>Recruiting</t>
        </is>
      </c>
      <c r="C5" s="3" t="inlineStr">
        <is>
          <t>Pre-hire cognitive and skills assessment platform</t>
        </is>
      </c>
      <c r="D5" s="4" t="n">
        <v>15</v>
      </c>
      <c r="E5" s="5" t="n">
        <v>200</v>
      </c>
      <c r="F5" s="4">
        <f>D5*E5</f>
        <v/>
      </c>
      <c r="G5" s="3" t="inlineStr"/>
      <c r="H5" s="6" t="inlineStr"/>
      <c r="I5" s="3" t="inlineStr"/>
    </row>
    <row r="6">
      <c r="A6" s="7" t="inlineStr">
        <is>
          <t>Travel for Interviews</t>
        </is>
      </c>
      <c r="B6" s="7" t="inlineStr">
        <is>
          <t>Recruiting</t>
        </is>
      </c>
      <c r="C6" s="7" t="inlineStr">
        <is>
          <t>Candidate travel reimbursement for in-person interviews</t>
        </is>
      </c>
      <c r="D6" s="8" t="n">
        <v>800</v>
      </c>
      <c r="E6" s="9" t="n">
        <v>10</v>
      </c>
      <c r="F6" s="8">
        <f>D6*E6</f>
        <v/>
      </c>
      <c r="G6" s="7" t="inlineStr"/>
      <c r="H6" s="10" t="inlineStr"/>
      <c r="I6" s="7" t="inlineStr"/>
    </row>
    <row r="7">
      <c r="A7" s="3" t="inlineStr">
        <is>
          <t>Referral Bonuses</t>
        </is>
      </c>
      <c r="B7" s="3" t="inlineStr">
        <is>
          <t>Recruiting</t>
        </is>
      </c>
      <c r="C7" s="3" t="inlineStr">
        <is>
          <t>Employee referral bonus per successful hire</t>
        </is>
      </c>
      <c r="D7" s="4" t="n">
        <v>1500</v>
      </c>
      <c r="E7" s="5" t="n">
        <v>20</v>
      </c>
      <c r="F7" s="4">
        <f>D7*E7</f>
        <v/>
      </c>
      <c r="G7" s="3" t="inlineStr"/>
      <c r="H7" s="6" t="inlineStr"/>
      <c r="I7" s="3" t="inlineStr"/>
    </row>
    <row r="8">
      <c r="A8" s="7" t="inlineStr">
        <is>
          <t>Staffing Agency Fees</t>
        </is>
      </c>
      <c r="B8" s="7" t="inlineStr">
        <is>
          <t>Recruiting</t>
        </is>
      </c>
      <c r="C8" s="7" t="inlineStr">
        <is>
          <t>Third-party staffing agency placement fees</t>
        </is>
      </c>
      <c r="D8" s="8" t="n">
        <v>5000</v>
      </c>
      <c r="E8" s="9" t="n">
        <v>10</v>
      </c>
      <c r="F8" s="8">
        <f>D8*E8</f>
        <v/>
      </c>
      <c r="G8" s="7" t="inlineStr"/>
      <c r="H8" s="10" t="inlineStr"/>
      <c r="I8" s="7" t="inlineStr"/>
    </row>
    <row r="9">
      <c r="A9" s="3" t="inlineStr">
        <is>
          <t>Laptops (Gov-Spec)</t>
        </is>
      </c>
      <c r="B9" s="3" t="inlineStr">
        <is>
          <t>Equipment/IT</t>
        </is>
      </c>
      <c r="C9" s="3" t="inlineStr">
        <is>
          <t>FIPS 140-2 compliant laptops with encryption</t>
        </is>
      </c>
      <c r="D9" s="4" t="n">
        <v>1800</v>
      </c>
      <c r="E9" s="5" t="n">
        <v>50</v>
      </c>
      <c r="F9" s="4">
        <f>D9*E9</f>
        <v/>
      </c>
      <c r="G9" s="3" t="inlineStr"/>
      <c r="H9" s="6" t="inlineStr"/>
      <c r="I9" s="3" t="inlineStr"/>
    </row>
    <row r="10">
      <c r="A10" s="7" t="inlineStr">
        <is>
          <t>External Monitors</t>
        </is>
      </c>
      <c r="B10" s="7" t="inlineStr">
        <is>
          <t>Equipment/IT</t>
        </is>
      </c>
      <c r="C10" s="7" t="inlineStr">
        <is>
          <t>24-inch IPS monitors for remote workstations</t>
        </is>
      </c>
      <c r="D10" s="8" t="n">
        <v>350</v>
      </c>
      <c r="E10" s="9" t="n">
        <v>50</v>
      </c>
      <c r="F10" s="8">
        <f>D10*E10</f>
        <v/>
      </c>
      <c r="G10" s="7" t="inlineStr"/>
      <c r="H10" s="10" t="inlineStr"/>
      <c r="I10" s="7" t="inlineStr"/>
    </row>
    <row r="11">
      <c r="A11" s="3" t="inlineStr">
        <is>
          <t>Headsets (VOIP-Compatible)</t>
        </is>
      </c>
      <c r="B11" s="3" t="inlineStr">
        <is>
          <t>Equipment/IT</t>
        </is>
      </c>
      <c r="C11" s="3" t="inlineStr">
        <is>
          <t>Noise-cancelling USB headsets</t>
        </is>
      </c>
      <c r="D11" s="4" t="n">
        <v>120</v>
      </c>
      <c r="E11" s="5" t="n">
        <v>50</v>
      </c>
      <c r="F11" s="4">
        <f>D11*E11</f>
        <v/>
      </c>
      <c r="G11" s="3" t="inlineStr"/>
      <c r="H11" s="6" t="inlineStr"/>
      <c r="I11" s="3" t="inlineStr"/>
    </row>
    <row r="12">
      <c r="A12" s="7" t="inlineStr">
        <is>
          <t>CAC Readers</t>
        </is>
      </c>
      <c r="B12" s="7" t="inlineStr">
        <is>
          <t>Equipment/IT</t>
        </is>
      </c>
      <c r="C12" s="7" t="inlineStr">
        <is>
          <t>USB smart card readers for PIV/CAC authentication</t>
        </is>
      </c>
      <c r="D12" s="8" t="n">
        <v>45</v>
      </c>
      <c r="E12" s="9" t="n">
        <v>55</v>
      </c>
      <c r="F12" s="8">
        <f>D12*E12</f>
        <v/>
      </c>
      <c r="G12" s="7" t="inlineStr"/>
      <c r="H12" s="10" t="inlineStr"/>
      <c r="I12" s="7" t="inlineStr"/>
    </row>
    <row r="13">
      <c r="A13" s="3" t="inlineStr">
        <is>
          <t>Keyboards &amp; Mice Kits</t>
        </is>
      </c>
      <c r="B13" s="3" t="inlineStr">
        <is>
          <t>Equipment/IT</t>
        </is>
      </c>
      <c r="C13" s="3" t="inlineStr">
        <is>
          <t>Ergonomic keyboard and mouse combo</t>
        </is>
      </c>
      <c r="D13" s="4" t="n">
        <v>80</v>
      </c>
      <c r="E13" s="5" t="n">
        <v>50</v>
      </c>
      <c r="F13" s="4">
        <f>D13*E13</f>
        <v/>
      </c>
      <c r="G13" s="3" t="inlineStr"/>
      <c r="H13" s="6" t="inlineStr"/>
      <c r="I13" s="3" t="inlineStr"/>
    </row>
    <row r="14">
      <c r="A14" s="7" t="inlineStr">
        <is>
          <t>Webcams (HD Secure)</t>
        </is>
      </c>
      <c r="B14" s="7" t="inlineStr">
        <is>
          <t>Equipment/IT</t>
        </is>
      </c>
      <c r="C14" s="7" t="inlineStr">
        <is>
          <t>1080p webcams with privacy shutters</t>
        </is>
      </c>
      <c r="D14" s="8" t="n">
        <v>95</v>
      </c>
      <c r="E14" s="9" t="n">
        <v>50</v>
      </c>
      <c r="F14" s="8">
        <f>D14*E14</f>
        <v/>
      </c>
      <c r="G14" s="7" t="inlineStr"/>
      <c r="H14" s="10" t="inlineStr"/>
      <c r="I14" s="7" t="inlineStr"/>
    </row>
    <row r="15">
      <c r="A15" s="3" t="inlineStr">
        <is>
          <t>Shipping &amp; Logistics</t>
        </is>
      </c>
      <c r="B15" s="3" t="inlineStr">
        <is>
          <t>Equipment/IT</t>
        </is>
      </c>
      <c r="C15" s="3" t="inlineStr">
        <is>
          <t>Overnight shipping of equipment kits to new hires</t>
        </is>
      </c>
      <c r="D15" s="4" t="n">
        <v>65</v>
      </c>
      <c r="E15" s="5" t="n">
        <v>55</v>
      </c>
      <c r="F15" s="4">
        <f>D15*E15</f>
        <v/>
      </c>
      <c r="G15" s="3" t="inlineStr"/>
      <c r="H15" s="6" t="inlineStr"/>
      <c r="I15" s="3" t="inlineStr"/>
    </row>
    <row r="16">
      <c r="A16" s="7" t="inlineStr">
        <is>
          <t>Surge Pricing Premiums</t>
        </is>
      </c>
      <c r="B16" s="7" t="inlineStr">
        <is>
          <t>Equipment/IT</t>
        </is>
      </c>
      <c r="C16" s="7" t="inlineStr">
        <is>
          <t>Premium markup for expedited procurement</t>
        </is>
      </c>
      <c r="D16" s="8" t="n">
        <v>200</v>
      </c>
      <c r="E16" s="9" t="n">
        <v>50</v>
      </c>
      <c r="F16" s="8">
        <f>D16*E16</f>
        <v/>
      </c>
      <c r="G16" s="7" t="inlineStr"/>
      <c r="H16" s="10" t="inlineStr"/>
      <c r="I16" s="7" t="inlineStr"/>
    </row>
    <row r="17">
      <c r="A17" s="3" t="inlineStr">
        <is>
          <t>LMS Licenses</t>
        </is>
      </c>
      <c r="B17" s="3" t="inlineStr">
        <is>
          <t>Training</t>
        </is>
      </c>
      <c r="C17" s="3" t="inlineStr">
        <is>
          <t>Learning management system per-seat licenses</t>
        </is>
      </c>
      <c r="D17" s="4" t="n">
        <v>50</v>
      </c>
      <c r="E17" s="5" t="n">
        <v>60</v>
      </c>
      <c r="F17" s="4">
        <f>D17*E17</f>
        <v/>
      </c>
      <c r="G17" s="3" t="inlineStr"/>
      <c r="H17" s="6" t="inlineStr"/>
      <c r="I17" s="3" t="inlineStr"/>
    </row>
    <row r="18">
      <c r="A18" s="7" t="inlineStr">
        <is>
          <t>Training Materials &amp; Curriculum</t>
        </is>
      </c>
      <c r="B18" s="7" t="inlineStr">
        <is>
          <t>Training</t>
        </is>
      </c>
      <c r="C18" s="7" t="inlineStr">
        <is>
          <t>Custom course development and printed materials</t>
        </is>
      </c>
      <c r="D18" s="8" t="n">
        <v>5000</v>
      </c>
      <c r="E18" s="9" t="n">
        <v>3</v>
      </c>
      <c r="F18" s="8">
        <f>D18*E18</f>
        <v/>
      </c>
      <c r="G18" s="7" t="inlineStr"/>
      <c r="H18" s="10" t="inlineStr"/>
      <c r="I18" s="7" t="inlineStr"/>
    </row>
    <row r="19">
      <c r="A19" s="3" t="inlineStr">
        <is>
          <t>Instructor / Facilitator Costs</t>
        </is>
      </c>
      <c r="B19" s="3" t="inlineStr">
        <is>
          <t>Training</t>
        </is>
      </c>
      <c r="C19" s="3" t="inlineStr">
        <is>
          <t>Contract instructor daily rate for live training</t>
        </is>
      </c>
      <c r="D19" s="4" t="n">
        <v>1200</v>
      </c>
      <c r="E19" s="5" t="n">
        <v>20</v>
      </c>
      <c r="F19" s="4">
        <f>D19*E19</f>
        <v/>
      </c>
      <c r="G19" s="3" t="inlineStr"/>
      <c r="H19" s="6" t="inlineStr"/>
      <c r="I19" s="3" t="inlineStr"/>
    </row>
    <row r="20">
      <c r="A20" s="7" t="inlineStr">
        <is>
          <t>Simulation &amp; Lab Tools</t>
        </is>
      </c>
      <c r="B20" s="7" t="inlineStr">
        <is>
          <t>Training</t>
        </is>
      </c>
      <c r="C20" s="7" t="inlineStr">
        <is>
          <t>Virtual lab environment licenses for hands-on training</t>
        </is>
      </c>
      <c r="D20" s="8" t="n">
        <v>300</v>
      </c>
      <c r="E20" s="9" t="n">
        <v>50</v>
      </c>
      <c r="F20" s="8">
        <f>D20*E20</f>
        <v/>
      </c>
      <c r="G20" s="7" t="inlineStr"/>
      <c r="H20" s="10" t="inlineStr"/>
      <c r="I20" s="7" t="inlineStr"/>
    </row>
    <row r="21">
      <c r="A21" s="3" t="inlineStr">
        <is>
          <t>Certification Exam Fees</t>
        </is>
      </c>
      <c r="B21" s="3" t="inlineStr">
        <is>
          <t>Training</t>
        </is>
      </c>
      <c r="C21" s="3" t="inlineStr">
        <is>
          <t>Industry certification exam vouchers</t>
        </is>
      </c>
      <c r="D21" s="4" t="n">
        <v>400</v>
      </c>
      <c r="E21" s="5" t="n">
        <v>30</v>
      </c>
      <c r="F21" s="4">
        <f>D21*E21</f>
        <v/>
      </c>
      <c r="G21" s="3" t="inlineStr"/>
      <c r="H21" s="6" t="inlineStr"/>
      <c r="I21" s="3" t="inlineStr"/>
    </row>
    <row r="22">
      <c r="A22" s="7" t="inlineStr">
        <is>
          <t>Salary Costs — Ramp Period</t>
        </is>
      </c>
      <c r="B22" s="7" t="inlineStr">
        <is>
          <t>Personnel</t>
        </is>
      </c>
      <c r="C22" s="7" t="inlineStr">
        <is>
          <t>New hire salary during 30-day ramp/training</t>
        </is>
      </c>
      <c r="D22" s="8" t="n">
        <v>4500</v>
      </c>
      <c r="E22" s="9" t="n">
        <v>50</v>
      </c>
      <c r="F22" s="8">
        <f>D22*E22</f>
        <v/>
      </c>
      <c r="G22" s="7" t="inlineStr"/>
      <c r="H22" s="10" t="inlineStr"/>
      <c r="I22" s="7" t="inlineStr"/>
    </row>
    <row r="23">
      <c r="A23" s="3" t="inlineStr">
        <is>
          <t>Overtime — Existing Staff</t>
        </is>
      </c>
      <c r="B23" s="3" t="inlineStr">
        <is>
          <t>Personnel</t>
        </is>
      </c>
      <c r="C23" s="3" t="inlineStr">
        <is>
          <t>OT for current staff supporting surge operations</t>
        </is>
      </c>
      <c r="D23" s="4" t="n">
        <v>60</v>
      </c>
      <c r="E23" s="5" t="n">
        <v>800</v>
      </c>
      <c r="F23" s="4">
        <f>D23*E23</f>
        <v/>
      </c>
      <c r="G23" s="3" t="inlineStr"/>
      <c r="H23" s="6" t="inlineStr"/>
      <c r="I23" s="3" t="inlineStr"/>
    </row>
    <row r="24">
      <c r="A24" s="7" t="inlineStr">
        <is>
          <t>Temporary Staffing Augmentation</t>
        </is>
      </c>
      <c r="B24" s="7" t="inlineStr">
        <is>
          <t>Personnel</t>
        </is>
      </c>
      <c r="C24" s="7" t="inlineStr">
        <is>
          <t>Temp staff to backfill during surge</t>
        </is>
      </c>
      <c r="D24" s="8" t="n">
        <v>3500</v>
      </c>
      <c r="E24" s="9" t="n">
        <v>5</v>
      </c>
      <c r="F24" s="8">
        <f>D24*E24</f>
        <v/>
      </c>
      <c r="G24" s="7" t="inlineStr"/>
      <c r="H24" s="10" t="inlineStr"/>
      <c r="I24" s="7" t="inlineStr"/>
    </row>
    <row r="25">
      <c r="A25" s="3" t="inlineStr">
        <is>
          <t>Contractor Premiums</t>
        </is>
      </c>
      <c r="B25" s="3" t="inlineStr">
        <is>
          <t>Personnel</t>
        </is>
      </c>
      <c r="C25" s="3" t="inlineStr">
        <is>
          <t>Premium rates for 1099 contractors vs FTEs</t>
        </is>
      </c>
      <c r="D25" s="4" t="n">
        <v>2000</v>
      </c>
      <c r="E25" s="5" t="n">
        <v>10</v>
      </c>
      <c r="F25" s="4">
        <f>D25*E25</f>
        <v/>
      </c>
      <c r="G25" s="3" t="inlineStr"/>
      <c r="H25" s="6" t="inlineStr"/>
      <c r="I25" s="3" t="inlineStr"/>
    </row>
    <row r="26">
      <c r="A26" s="7" t="inlineStr">
        <is>
          <t>e-QIP Processing Fees</t>
        </is>
      </c>
      <c r="B26" s="7" t="inlineStr">
        <is>
          <t>Background/Clearance</t>
        </is>
      </c>
      <c r="C26" s="7" t="inlineStr">
        <is>
          <t>Electronic questionnaire processing per applicant</t>
        </is>
      </c>
      <c r="D26" s="8" t="n">
        <v>350</v>
      </c>
      <c r="E26" s="9" t="n">
        <v>60</v>
      </c>
      <c r="F26" s="8">
        <f>D26*E26</f>
        <v/>
      </c>
      <c r="G26" s="7" t="inlineStr"/>
      <c r="H26" s="10" t="inlineStr"/>
      <c r="I26" s="7" t="inlineStr"/>
    </row>
    <row r="27">
      <c r="A27" s="3" t="inlineStr">
        <is>
          <t>Interim Clearance Processing</t>
        </is>
      </c>
      <c r="B27" s="3" t="inlineStr">
        <is>
          <t>Background/Clearance</t>
        </is>
      </c>
      <c r="C27" s="3" t="inlineStr">
        <is>
          <t>Expedited interim secret clearance costs</t>
        </is>
      </c>
      <c r="D27" s="4" t="n">
        <v>500</v>
      </c>
      <c r="E27" s="5" t="n">
        <v>50</v>
      </c>
      <c r="F27" s="4">
        <f>D27*E27</f>
        <v/>
      </c>
      <c r="G27" s="3" t="inlineStr"/>
      <c r="H27" s="6" t="inlineStr"/>
      <c r="I27" s="3" t="inlineStr"/>
    </row>
    <row r="28">
      <c r="A28" s="7" t="inlineStr">
        <is>
          <t>Drug Testing</t>
        </is>
      </c>
      <c r="B28" s="7" t="inlineStr">
        <is>
          <t>Background/Clearance</t>
        </is>
      </c>
      <c r="C28" s="7" t="inlineStr">
        <is>
          <t>Pre-employment 10-panel drug screening</t>
        </is>
      </c>
      <c r="D28" s="8" t="n">
        <v>85</v>
      </c>
      <c r="E28" s="9" t="n">
        <v>60</v>
      </c>
      <c r="F28" s="8">
        <f>D28*E28</f>
        <v/>
      </c>
      <c r="G28" s="7" t="inlineStr"/>
      <c r="H28" s="10" t="inlineStr"/>
      <c r="I28" s="7" t="inlineStr"/>
    </row>
    <row r="29">
      <c r="A29" s="3" t="inlineStr">
        <is>
          <t>Fingerprinting (Live Scan)</t>
        </is>
      </c>
      <c r="B29" s="3" t="inlineStr">
        <is>
          <t>Background/Clearance</t>
        </is>
      </c>
      <c r="C29" s="3" t="inlineStr">
        <is>
          <t>FBI/State fingerprint capture and submission</t>
        </is>
      </c>
      <c r="D29" s="4" t="n">
        <v>50</v>
      </c>
      <c r="E29" s="5" t="n">
        <v>60</v>
      </c>
      <c r="F29" s="4">
        <f>D29*E29</f>
        <v/>
      </c>
      <c r="G29" s="3" t="inlineStr"/>
      <c r="H29" s="6" t="inlineStr"/>
      <c r="I29" s="3" t="inlineStr"/>
    </row>
    <row r="30">
      <c r="A30" s="7" t="inlineStr">
        <is>
          <t>Polygraph Examinations</t>
        </is>
      </c>
      <c r="B30" s="7" t="inlineStr">
        <is>
          <t>Background/Clearance</t>
        </is>
      </c>
      <c r="C30" s="7" t="inlineStr">
        <is>
          <t>Full-scope polygraph for TS/SCI positions</t>
        </is>
      </c>
      <c r="D30" s="8" t="n">
        <v>2500</v>
      </c>
      <c r="E30" s="9" t="n">
        <v>15</v>
      </c>
      <c r="F30" s="8">
        <f>D30*E30</f>
        <v/>
      </c>
      <c r="G30" s="7" t="inlineStr"/>
      <c r="H30" s="10" t="inlineStr"/>
      <c r="I30" s="7" t="inlineStr"/>
    </row>
    <row r="31">
      <c r="A31" s="3" t="inlineStr">
        <is>
          <t>VPN &amp; Remote Access Licenses</t>
        </is>
      </c>
      <c r="B31" s="3" t="inlineStr">
        <is>
          <t>Overhead</t>
        </is>
      </c>
      <c r="C31" s="3" t="inlineStr">
        <is>
          <t>Per-user VPN client licenses (annual)</t>
        </is>
      </c>
      <c r="D31" s="4" t="n">
        <v>120</v>
      </c>
      <c r="E31" s="5" t="n">
        <v>55</v>
      </c>
      <c r="F31" s="4">
        <f>D31*E31</f>
        <v/>
      </c>
      <c r="G31" s="3" t="inlineStr"/>
      <c r="H31" s="6" t="inlineStr"/>
      <c r="I31" s="3" t="inlineStr"/>
    </row>
    <row r="32">
      <c r="A32" s="7" t="inlineStr">
        <is>
          <t>Collaboration Tools (MS Teams/Zoom)</t>
        </is>
      </c>
      <c r="B32" s="7" t="inlineStr">
        <is>
          <t>Overhead</t>
        </is>
      </c>
      <c r="C32" s="7" t="inlineStr">
        <is>
          <t>Enterprise collaboration platform licenses</t>
        </is>
      </c>
      <c r="D32" s="8" t="n">
        <v>30</v>
      </c>
      <c r="E32" s="9" t="n">
        <v>55</v>
      </c>
      <c r="F32" s="8">
        <f>D32*E32</f>
        <v/>
      </c>
      <c r="G32" s="7" t="inlineStr"/>
      <c r="H32" s="10" t="inlineStr"/>
      <c r="I32" s="7" t="inlineStr"/>
    </row>
    <row r="33">
      <c r="A33" s="3" t="inlineStr">
        <is>
          <t>IT Help Desk Support Augmentation</t>
        </is>
      </c>
      <c r="B33" s="3" t="inlineStr">
        <is>
          <t>Overhead</t>
        </is>
      </c>
      <c r="C33" s="3" t="inlineStr">
        <is>
          <t>Additional help desk FTEs for onboarding surge</t>
        </is>
      </c>
      <c r="D33" s="4" t="n">
        <v>4500</v>
      </c>
      <c r="E33" s="5" t="n">
        <v>3</v>
      </c>
      <c r="F33" s="4">
        <f>D33*E33</f>
        <v/>
      </c>
      <c r="G33" s="3" t="inlineStr"/>
      <c r="H33" s="6" t="inlineStr"/>
      <c r="I33" s="3" t="inlineStr"/>
    </row>
    <row r="34">
      <c r="A34" s="7" t="inlineStr">
        <is>
          <t>Facilities / Hoteling Space</t>
        </is>
      </c>
      <c r="B34" s="7" t="inlineStr">
        <is>
          <t>Overhead</t>
        </is>
      </c>
      <c r="C34" s="7" t="inlineStr">
        <is>
          <t>Shared desk/hoteling reservations for hybrid workers</t>
        </is>
      </c>
      <c r="D34" s="8" t="n">
        <v>500</v>
      </c>
      <c r="E34" s="9" t="n">
        <v>20</v>
      </c>
      <c r="F34" s="8">
        <f>D34*E34</f>
        <v/>
      </c>
      <c r="G34" s="7" t="inlineStr"/>
      <c r="H34" s="10" t="inlineStr"/>
      <c r="I34" s="7" t="inlineStr"/>
    </row>
    <row r="35">
      <c r="A35" s="3" t="inlineStr">
        <is>
          <t>Contingency Reserve (10%)</t>
        </is>
      </c>
      <c r="B35" s="3" t="inlineStr">
        <is>
          <t>Contingency</t>
        </is>
      </c>
      <c r="C35" s="3" t="inlineStr">
        <is>
          <t>10% contingency on total budgeted amount</t>
        </is>
      </c>
      <c r="D35" s="4" t="n">
        <v>1</v>
      </c>
      <c r="E35" s="5" t="n">
        <v>1</v>
      </c>
      <c r="F35" s="4">
        <f>ROUND((SUMPRODUCT(D3:D34,E3:E34))*0.10,2)</f>
        <v/>
      </c>
      <c r="G35" s="3" t="inlineStr"/>
      <c r="H35" s="6" t="inlineStr"/>
      <c r="I35" s="3" t="inlineStr"/>
    </row>
    <row r="36"/>
    <row r="37"/>
    <row r="38">
      <c r="A38" s="11" t="inlineStr">
        <is>
          <t>CATEGORY SUMMARY</t>
        </is>
      </c>
      <c r="B38" s="16" t="n"/>
      <c r="C38" s="16" t="n"/>
    </row>
    <row r="39">
      <c r="A39" s="13" t="inlineStr">
        <is>
          <t>Category</t>
        </is>
      </c>
      <c r="B39" s="13" t="inlineStr">
        <is>
          <t>Total Budgeted</t>
        </is>
      </c>
    </row>
    <row r="40">
      <c r="A40" s="3" t="inlineStr">
        <is>
          <t>Recruiting</t>
        </is>
      </c>
      <c r="B40" s="4">
        <f>SUMIFS(F3:F35,B3:B35,A40)</f>
        <v/>
      </c>
    </row>
    <row r="41">
      <c r="A41" s="7" t="inlineStr">
        <is>
          <t>Equipment/IT</t>
        </is>
      </c>
      <c r="B41" s="8">
        <f>SUMIFS(F3:F35,B3:B35,A41)</f>
        <v/>
      </c>
    </row>
    <row r="42">
      <c r="A42" s="3" t="inlineStr">
        <is>
          <t>Training</t>
        </is>
      </c>
      <c r="B42" s="4">
        <f>SUMIFS(F3:F35,B3:B35,A42)</f>
        <v/>
      </c>
    </row>
    <row r="43">
      <c r="A43" s="7" t="inlineStr">
        <is>
          <t>Personnel</t>
        </is>
      </c>
      <c r="B43" s="8">
        <f>SUMIFS(F3:F35,B3:B35,A43)</f>
        <v/>
      </c>
    </row>
    <row r="44">
      <c r="A44" s="3" t="inlineStr">
        <is>
          <t>Background/Clearance</t>
        </is>
      </c>
      <c r="B44" s="4">
        <f>SUMIFS(F3:F35,B3:B35,A44)</f>
        <v/>
      </c>
    </row>
    <row r="45">
      <c r="A45" s="7" t="inlineStr">
        <is>
          <t>Overhead</t>
        </is>
      </c>
      <c r="B45" s="8">
        <f>SUMIFS(F3:F35,B3:B35,A45)</f>
        <v/>
      </c>
    </row>
    <row r="46">
      <c r="A46" s="3" t="inlineStr">
        <is>
          <t>Contingency</t>
        </is>
      </c>
      <c r="B46" s="4">
        <f>SUMIFS(F3:F35,B3:B35,A46)</f>
        <v/>
      </c>
    </row>
    <row r="47">
      <c r="A47" s="14" t="inlineStr">
        <is>
          <t>GRAND TOTAL</t>
        </is>
      </c>
      <c r="B47" s="15">
        <f>SUM(B40:B46)</f>
        <v/>
      </c>
    </row>
  </sheetData>
  <mergeCells count="2">
    <mergeCell ref="A1:I1"/>
    <mergeCell ref="A38:C38"/>
  </mergeCells>
  <dataValidations count="1">
    <dataValidation sqref="B3:B85" showDropDown="0" showInputMessage="0" showErrorMessage="0" allowBlank="1" type="list">
      <formula1>"Recruiting,Equipment/IT,Training,Personnel,Background/Clearance,Overhead,Contingency"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cols>
    <col width="13" customWidth="1" min="1" max="1"/>
    <col width="24" customWidth="1" min="2" max="2"/>
    <col width="38" customWidth="1" min="3" max="3"/>
    <col width="20" customWidth="1" min="4" max="4"/>
    <col width="28" customWidth="1" min="5" max="5"/>
    <col width="14" customWidth="1" min="6" max="6"/>
    <col width="14" customWidth="1" min="7" max="7"/>
    <col width="16" customWidth="1" min="8" max="8"/>
    <col width="15" customWidth="1" min="9" max="9"/>
    <col width="14" customWidth="1" min="10" max="10"/>
    <col width="12" customWidth="1" min="11" max="11"/>
    <col width="14" customWidth="1" min="12" max="12"/>
    <col width="16" customWidth="1" min="13" max="13"/>
    <col width="20" customWidth="1" min="14" max="14"/>
  </cols>
  <sheetData>
    <row r="1" ht="30" customHeight="1">
      <c r="A1" s="1" t="inlineStr">
        <is>
          <t>Expenditure Log — Surge Hiring Operations</t>
        </is>
      </c>
    </row>
    <row r="2" ht="28" customHeight="1">
      <c r="A2" s="17" t="inlineStr">
        <is>
          <t>Date</t>
        </is>
      </c>
      <c r="B2" s="17" t="inlineStr">
        <is>
          <t>Vendor/Payee</t>
        </is>
      </c>
      <c r="C2" s="17" t="inlineStr">
        <is>
          <t>Description</t>
        </is>
      </c>
      <c r="D2" s="17" t="inlineStr">
        <is>
          <t>Category</t>
        </is>
      </c>
      <c r="E2" s="17" t="inlineStr">
        <is>
          <t>Line Item Reference</t>
        </is>
      </c>
      <c r="F2" s="17" t="inlineStr">
        <is>
          <t>Invoice Number</t>
        </is>
      </c>
      <c r="G2" s="17" t="inlineStr">
        <is>
          <t>Amount</t>
        </is>
      </c>
      <c r="H2" s="17" t="inlineStr">
        <is>
          <t>Payment Method</t>
        </is>
      </c>
      <c r="I2" s="17" t="inlineStr">
        <is>
          <t>Payment Status</t>
        </is>
      </c>
      <c r="J2" s="17" t="inlineStr">
        <is>
          <t>Approved By</t>
        </is>
      </c>
      <c r="K2" s="17" t="inlineStr">
        <is>
          <t>GL Code</t>
        </is>
      </c>
      <c r="L2" s="17" t="inlineStr">
        <is>
          <t>Contract CLIN</t>
        </is>
      </c>
      <c r="M2" s="17" t="inlineStr">
        <is>
          <t>Running Total</t>
        </is>
      </c>
      <c r="N2" s="17" t="inlineStr">
        <is>
          <t>Notes</t>
        </is>
      </c>
    </row>
    <row r="3">
      <c r="A3" s="6" t="n">
        <v>46027</v>
      </c>
      <c r="B3" s="3" t="inlineStr">
        <is>
          <t>ClearanceJobs.com</t>
        </is>
      </c>
      <c r="C3" s="3" t="inlineStr">
        <is>
          <t>Q1 Job Board Posting Package</t>
        </is>
      </c>
      <c r="D3" s="3" t="inlineStr">
        <is>
          <t>Recruiting</t>
        </is>
      </c>
      <c r="E3" s="3" t="inlineStr">
        <is>
          <t>Job Board Postings</t>
        </is>
      </c>
      <c r="F3" s="3" t="inlineStr">
        <is>
          <t>INV-10001</t>
        </is>
      </c>
      <c r="G3" s="4" t="n">
        <v>2500</v>
      </c>
      <c r="H3" s="3" t="inlineStr">
        <is>
          <t>Invoice</t>
        </is>
      </c>
      <c r="I3" s="3" t="inlineStr">
        <is>
          <t>Paid</t>
        </is>
      </c>
      <c r="J3" s="3" t="inlineStr">
        <is>
          <t>J. Martinez</t>
        </is>
      </c>
      <c r="K3" s="3" t="inlineStr">
        <is>
          <t>6100-01</t>
        </is>
      </c>
      <c r="L3" s="3" t="inlineStr">
        <is>
          <t>CLIN 0001</t>
        </is>
      </c>
      <c r="M3" s="4">
        <f>SUM(G3:G3)</f>
        <v/>
      </c>
      <c r="N3" s="3" t="inlineStr"/>
    </row>
    <row r="4">
      <c r="A4" s="10" t="n">
        <v>46030</v>
      </c>
      <c r="B4" s="7" t="inlineStr">
        <is>
          <t>Dell Technologies</t>
        </is>
      </c>
      <c r="C4" s="7" t="inlineStr">
        <is>
          <t>Lot 1 — 20x Latitude 5540 Laptops</t>
        </is>
      </c>
      <c r="D4" s="7" t="inlineStr">
        <is>
          <t>Equipment/IT</t>
        </is>
      </c>
      <c r="E4" s="7" t="inlineStr">
        <is>
          <t>Laptops (Gov-Spec)</t>
        </is>
      </c>
      <c r="F4" s="7" t="inlineStr">
        <is>
          <t>INV-10002</t>
        </is>
      </c>
      <c r="G4" s="8" t="n">
        <v>36000</v>
      </c>
      <c r="H4" s="7" t="inlineStr">
        <is>
          <t>Invoice</t>
        </is>
      </c>
      <c r="I4" s="7" t="inlineStr">
        <is>
          <t>Paid</t>
        </is>
      </c>
      <c r="J4" s="7" t="inlineStr">
        <is>
          <t>J. Martinez</t>
        </is>
      </c>
      <c r="K4" s="7" t="inlineStr">
        <is>
          <t>6200-01</t>
        </is>
      </c>
      <c r="L4" s="7" t="inlineStr">
        <is>
          <t>CLIN 0002</t>
        </is>
      </c>
      <c r="M4" s="8">
        <f>SUM(G3:G4)</f>
        <v/>
      </c>
      <c r="N4" s="7" t="inlineStr"/>
    </row>
    <row r="5">
      <c r="A5" s="6" t="n">
        <v>46032</v>
      </c>
      <c r="B5" s="3" t="inlineStr">
        <is>
          <t>Amazon Business</t>
        </is>
      </c>
      <c r="C5" s="3" t="inlineStr">
        <is>
          <t>20x USB Headsets — Jabra Evolve2</t>
        </is>
      </c>
      <c r="D5" s="3" t="inlineStr">
        <is>
          <t>Equipment/IT</t>
        </is>
      </c>
      <c r="E5" s="3" t="inlineStr">
        <is>
          <t>Headsets (VOIP-Compatible)</t>
        </is>
      </c>
      <c r="F5" s="3" t="inlineStr">
        <is>
          <t>INV-10003</t>
        </is>
      </c>
      <c r="G5" s="4" t="n">
        <v>2400</v>
      </c>
      <c r="H5" s="3" t="inlineStr">
        <is>
          <t>P-Card</t>
        </is>
      </c>
      <c r="I5" s="3" t="inlineStr">
        <is>
          <t>Paid</t>
        </is>
      </c>
      <c r="J5" s="3" t="inlineStr">
        <is>
          <t>S. Nguyen</t>
        </is>
      </c>
      <c r="K5" s="3" t="inlineStr">
        <is>
          <t>6200-02</t>
        </is>
      </c>
      <c r="L5" s="3" t="inlineStr">
        <is>
          <t>CLIN 0002</t>
        </is>
      </c>
      <c r="M5" s="4">
        <f>SUM(G3:G5)</f>
        <v/>
      </c>
      <c r="N5" s="3" t="inlineStr"/>
    </row>
    <row r="6">
      <c r="A6" s="10" t="n">
        <v>46034</v>
      </c>
      <c r="B6" s="7" t="inlineStr">
        <is>
          <t>HireVue Inc.</t>
        </is>
      </c>
      <c r="C6" s="7" t="inlineStr">
        <is>
          <t>Assessment Platform — 100 seat license</t>
        </is>
      </c>
      <c r="D6" s="7" t="inlineStr">
        <is>
          <t>Recruiting</t>
        </is>
      </c>
      <c r="E6" s="7" t="inlineStr">
        <is>
          <t>Assessment Tools &amp; Licensing</t>
        </is>
      </c>
      <c r="F6" s="7" t="inlineStr">
        <is>
          <t>INV-10004</t>
        </is>
      </c>
      <c r="G6" s="8" t="n">
        <v>3000</v>
      </c>
      <c r="H6" s="7" t="inlineStr">
        <is>
          <t>Invoice</t>
        </is>
      </c>
      <c r="I6" s="7" t="inlineStr">
        <is>
          <t>Paid</t>
        </is>
      </c>
      <c r="J6" s="7" t="inlineStr">
        <is>
          <t>J. Martinez</t>
        </is>
      </c>
      <c r="K6" s="7" t="inlineStr">
        <is>
          <t>6100-02</t>
        </is>
      </c>
      <c r="L6" s="7" t="inlineStr">
        <is>
          <t>CLIN 0001</t>
        </is>
      </c>
      <c r="M6" s="8">
        <f>SUM(G3:G6)</f>
        <v/>
      </c>
      <c r="N6" s="7" t="inlineStr"/>
    </row>
    <row r="7">
      <c r="A7" s="6" t="n">
        <v>46037</v>
      </c>
      <c r="B7" s="3" t="inlineStr">
        <is>
          <t>CACI International</t>
        </is>
      </c>
      <c r="C7" s="3" t="inlineStr">
        <is>
          <t>Staffing Agency — 3 placements</t>
        </is>
      </c>
      <c r="D7" s="3" t="inlineStr">
        <is>
          <t>Recruiting</t>
        </is>
      </c>
      <c r="E7" s="3" t="inlineStr">
        <is>
          <t>Staffing Agency Fees</t>
        </is>
      </c>
      <c r="F7" s="3" t="inlineStr">
        <is>
          <t>INV-10005</t>
        </is>
      </c>
      <c r="G7" s="4" t="n">
        <v>15000</v>
      </c>
      <c r="H7" s="3" t="inlineStr">
        <is>
          <t>Invoice</t>
        </is>
      </c>
      <c r="I7" s="3" t="inlineStr">
        <is>
          <t>Paid</t>
        </is>
      </c>
      <c r="J7" s="3" t="inlineStr">
        <is>
          <t>R. Thompson</t>
        </is>
      </c>
      <c r="K7" s="3" t="inlineStr">
        <is>
          <t>6100-03</t>
        </is>
      </c>
      <c r="L7" s="3" t="inlineStr">
        <is>
          <t>CLIN 0001</t>
        </is>
      </c>
      <c r="M7" s="4">
        <f>SUM(G3:G7)</f>
        <v/>
      </c>
      <c r="N7" s="3" t="inlineStr"/>
    </row>
    <row r="8">
      <c r="A8" s="10" t="n">
        <v>46042</v>
      </c>
      <c r="B8" s="7" t="inlineStr">
        <is>
          <t>Cornerstone OnDemand</t>
        </is>
      </c>
      <c r="C8" s="7" t="inlineStr">
        <is>
          <t>LMS Licenses — 60 seats</t>
        </is>
      </c>
      <c r="D8" s="7" t="inlineStr">
        <is>
          <t>Training</t>
        </is>
      </c>
      <c r="E8" s="7" t="inlineStr">
        <is>
          <t>LMS Licenses</t>
        </is>
      </c>
      <c r="F8" s="7" t="inlineStr">
        <is>
          <t>INV-10006</t>
        </is>
      </c>
      <c r="G8" s="8" t="n">
        <v>3000</v>
      </c>
      <c r="H8" s="7" t="inlineStr">
        <is>
          <t>Invoice</t>
        </is>
      </c>
      <c r="I8" s="7" t="inlineStr">
        <is>
          <t>Approved</t>
        </is>
      </c>
      <c r="J8" s="7" t="inlineStr">
        <is>
          <t>S. Nguyen</t>
        </is>
      </c>
      <c r="K8" s="7" t="inlineStr">
        <is>
          <t>6300-01</t>
        </is>
      </c>
      <c r="L8" s="7" t="inlineStr">
        <is>
          <t>CLIN 0003</t>
        </is>
      </c>
      <c r="M8" s="8">
        <f>SUM(G3:G8)</f>
        <v/>
      </c>
      <c r="N8" s="7" t="inlineStr"/>
    </row>
    <row r="9">
      <c r="A9" s="6" t="n">
        <v>46054</v>
      </c>
      <c r="B9" s="3" t="inlineStr">
        <is>
          <t>Internal Payroll</t>
        </is>
      </c>
      <c r="C9" s="3" t="inlineStr">
        <is>
          <t>Recruiter OT — Jan cycle</t>
        </is>
      </c>
      <c r="D9" s="3" t="inlineStr">
        <is>
          <t>Personnel</t>
        </is>
      </c>
      <c r="E9" s="3" t="inlineStr">
        <is>
          <t>Overtime — Existing Staff</t>
        </is>
      </c>
      <c r="F9" s="3" t="inlineStr">
        <is>
          <t>PAY-20001</t>
        </is>
      </c>
      <c r="G9" s="4" t="n">
        <v>4800</v>
      </c>
      <c r="H9" s="3" t="inlineStr">
        <is>
          <t>ACH</t>
        </is>
      </c>
      <c r="I9" s="3" t="inlineStr">
        <is>
          <t>Paid</t>
        </is>
      </c>
      <c r="J9" s="3" t="inlineStr">
        <is>
          <t>R. Thompson</t>
        </is>
      </c>
      <c r="K9" s="3" t="inlineStr">
        <is>
          <t>6400-01</t>
        </is>
      </c>
      <c r="L9" s="3" t="inlineStr">
        <is>
          <t>CLIN 0004</t>
        </is>
      </c>
      <c r="M9" s="4">
        <f>SUM(G3:G9)</f>
        <v/>
      </c>
      <c r="N9" s="3" t="inlineStr"/>
    </row>
    <row r="10">
      <c r="A10" s="10" t="n">
        <v>46058</v>
      </c>
      <c r="B10" s="7" t="inlineStr">
        <is>
          <t>DCSA/OPM</t>
        </is>
      </c>
      <c r="C10" s="7" t="inlineStr">
        <is>
          <t>e-QIP Processing — Batch 1 (20 applicants)</t>
        </is>
      </c>
      <c r="D10" s="7" t="inlineStr">
        <is>
          <t>Background/Clearance</t>
        </is>
      </c>
      <c r="E10" s="7" t="inlineStr">
        <is>
          <t>e-QIP Processing Fees</t>
        </is>
      </c>
      <c r="F10" s="7" t="inlineStr">
        <is>
          <t>GOV-30001</t>
        </is>
      </c>
      <c r="G10" s="8" t="n">
        <v>7000</v>
      </c>
      <c r="H10" s="7" t="inlineStr">
        <is>
          <t>Check</t>
        </is>
      </c>
      <c r="I10" s="7" t="inlineStr">
        <is>
          <t>Paid</t>
        </is>
      </c>
      <c r="J10" s="7" t="inlineStr">
        <is>
          <t>J. Martinez</t>
        </is>
      </c>
      <c r="K10" s="7" t="inlineStr">
        <is>
          <t>6500-01</t>
        </is>
      </c>
      <c r="L10" s="7" t="inlineStr">
        <is>
          <t>CLIN 0005</t>
        </is>
      </c>
      <c r="M10" s="8">
        <f>SUM(G3:G10)</f>
        <v/>
      </c>
      <c r="N10" s="7" t="inlineStr"/>
    </row>
    <row r="11">
      <c r="A11" s="6" t="n">
        <v>46063</v>
      </c>
      <c r="B11" s="3" t="inlineStr">
        <is>
          <t>Quest Diagnostics</t>
        </is>
      </c>
      <c r="C11" s="3" t="inlineStr">
        <is>
          <t>Drug Screening — 25 candidates</t>
        </is>
      </c>
      <c r="D11" s="3" t="inlineStr">
        <is>
          <t>Background/Clearance</t>
        </is>
      </c>
      <c r="E11" s="3" t="inlineStr">
        <is>
          <t>Drug Testing</t>
        </is>
      </c>
      <c r="F11" s="3" t="inlineStr">
        <is>
          <t>INV-10007</t>
        </is>
      </c>
      <c r="G11" s="4" t="n">
        <v>2125</v>
      </c>
      <c r="H11" s="3" t="inlineStr">
        <is>
          <t>P-Card</t>
        </is>
      </c>
      <c r="I11" s="3" t="inlineStr">
        <is>
          <t>Paid</t>
        </is>
      </c>
      <c r="J11" s="3" t="inlineStr">
        <is>
          <t>S. Nguyen</t>
        </is>
      </c>
      <c r="K11" s="3" t="inlineStr">
        <is>
          <t>6500-02</t>
        </is>
      </c>
      <c r="L11" s="3" t="inlineStr">
        <is>
          <t>CLIN 0005</t>
        </is>
      </c>
      <c r="M11" s="4">
        <f>SUM(G3:G11)</f>
        <v/>
      </c>
      <c r="N11" s="3" t="inlineStr"/>
    </row>
    <row r="12">
      <c r="A12" s="10" t="n">
        <v>46068</v>
      </c>
      <c r="B12" s="7" t="inlineStr">
        <is>
          <t>FedEx</t>
        </is>
      </c>
      <c r="C12" s="7" t="inlineStr">
        <is>
          <t>Equipment Shipping — Batch 1</t>
        </is>
      </c>
      <c r="D12" s="7" t="inlineStr">
        <is>
          <t>Equipment/IT</t>
        </is>
      </c>
      <c r="E12" s="7" t="inlineStr">
        <is>
          <t>Shipping &amp; Logistics</t>
        </is>
      </c>
      <c r="F12" s="7" t="inlineStr">
        <is>
          <t>INV-10008</t>
        </is>
      </c>
      <c r="G12" s="8" t="n">
        <v>1300</v>
      </c>
      <c r="H12" s="7" t="inlineStr">
        <is>
          <t>P-Card</t>
        </is>
      </c>
      <c r="I12" s="7" t="inlineStr">
        <is>
          <t>Paid</t>
        </is>
      </c>
      <c r="J12" s="7" t="inlineStr">
        <is>
          <t>S. Nguyen</t>
        </is>
      </c>
      <c r="K12" s="7" t="inlineStr">
        <is>
          <t>6200-03</t>
        </is>
      </c>
      <c r="L12" s="7" t="inlineStr">
        <is>
          <t>CLIN 0002</t>
        </is>
      </c>
      <c r="M12" s="8">
        <f>SUM(G3:G12)</f>
        <v/>
      </c>
      <c r="N12" s="7" t="inlineStr"/>
    </row>
    <row r="13">
      <c r="A13" s="6" t="n">
        <v>46073</v>
      </c>
      <c r="B13" s="3" t="inlineStr">
        <is>
          <t>Cisco Systems</t>
        </is>
      </c>
      <c r="C13" s="3" t="inlineStr">
        <is>
          <t>VPN Licenses — 55 users</t>
        </is>
      </c>
      <c r="D13" s="3" t="inlineStr">
        <is>
          <t>Overhead</t>
        </is>
      </c>
      <c r="E13" s="3" t="inlineStr">
        <is>
          <t>VPN &amp; Remote Access Licenses</t>
        </is>
      </c>
      <c r="F13" s="3" t="inlineStr">
        <is>
          <t>INV-10009</t>
        </is>
      </c>
      <c r="G13" s="4" t="n">
        <v>6600</v>
      </c>
      <c r="H13" s="3" t="inlineStr">
        <is>
          <t>Invoice</t>
        </is>
      </c>
      <c r="I13" s="3" t="inlineStr">
        <is>
          <t>Approved</t>
        </is>
      </c>
      <c r="J13" s="3" t="inlineStr">
        <is>
          <t>R. Thompson</t>
        </is>
      </c>
      <c r="K13" s="3" t="inlineStr">
        <is>
          <t>6600-01</t>
        </is>
      </c>
      <c r="L13" s="3" t="inlineStr">
        <is>
          <t>CLIN 0006</t>
        </is>
      </c>
      <c r="M13" s="4">
        <f>SUM(G3:G13)</f>
        <v/>
      </c>
      <c r="N13" s="3" t="inlineStr"/>
    </row>
    <row r="14">
      <c r="A14" s="10" t="n">
        <v>46082</v>
      </c>
      <c r="B14" s="7" t="inlineStr">
        <is>
          <t>Booz Allen Hamilton</t>
        </is>
      </c>
      <c r="C14" s="7" t="inlineStr">
        <is>
          <t>Contract Instructor — Week 1</t>
        </is>
      </c>
      <c r="D14" s="7" t="inlineStr">
        <is>
          <t>Training</t>
        </is>
      </c>
      <c r="E14" s="7" t="inlineStr">
        <is>
          <t>Instructor / Facilitator Costs</t>
        </is>
      </c>
      <c r="F14" s="7" t="inlineStr">
        <is>
          <t>INV-10010</t>
        </is>
      </c>
      <c r="G14" s="8" t="n">
        <v>6000</v>
      </c>
      <c r="H14" s="7" t="inlineStr">
        <is>
          <t>Invoice</t>
        </is>
      </c>
      <c r="I14" s="7" t="inlineStr">
        <is>
          <t>Paid</t>
        </is>
      </c>
      <c r="J14" s="7" t="inlineStr">
        <is>
          <t>J. Martinez</t>
        </is>
      </c>
      <c r="K14" s="7" t="inlineStr">
        <is>
          <t>6300-02</t>
        </is>
      </c>
      <c r="L14" s="7" t="inlineStr">
        <is>
          <t>CLIN 0003</t>
        </is>
      </c>
      <c r="M14" s="8">
        <f>SUM(G3:G14)</f>
        <v/>
      </c>
      <c r="N14" s="7" t="inlineStr"/>
    </row>
    <row r="15">
      <c r="A15" s="6" t="n">
        <v>46086</v>
      </c>
      <c r="B15" s="3" t="inlineStr">
        <is>
          <t>Internal Payroll</t>
        </is>
      </c>
      <c r="C15" s="3" t="inlineStr">
        <is>
          <t>New Hire Salaries — Ramp Cohort 1 (15)</t>
        </is>
      </c>
      <c r="D15" s="3" t="inlineStr">
        <is>
          <t>Personnel</t>
        </is>
      </c>
      <c r="E15" s="3" t="inlineStr">
        <is>
          <t>Salary Costs — Ramp Period</t>
        </is>
      </c>
      <c r="F15" s="3" t="inlineStr">
        <is>
          <t>PAY-20002</t>
        </is>
      </c>
      <c r="G15" s="4" t="n">
        <v>67500</v>
      </c>
      <c r="H15" s="3" t="inlineStr">
        <is>
          <t>ACH</t>
        </is>
      </c>
      <c r="I15" s="3" t="inlineStr">
        <is>
          <t>Paid</t>
        </is>
      </c>
      <c r="J15" s="3" t="inlineStr">
        <is>
          <t>R. Thompson</t>
        </is>
      </c>
      <c r="K15" s="3" t="inlineStr">
        <is>
          <t>6400-02</t>
        </is>
      </c>
      <c r="L15" s="3" t="inlineStr">
        <is>
          <t>CLIN 0004</t>
        </is>
      </c>
      <c r="M15" s="4">
        <f>SUM(G3:G15)</f>
        <v/>
      </c>
      <c r="N15" s="3" t="inlineStr"/>
    </row>
    <row r="16">
      <c r="A16" s="10" t="n">
        <v>46091</v>
      </c>
      <c r="B16" s="7" t="inlineStr">
        <is>
          <t>IdentoGO</t>
        </is>
      </c>
      <c r="C16" s="7" t="inlineStr">
        <is>
          <t>Fingerprinting — 30 applicants</t>
        </is>
      </c>
      <c r="D16" s="7" t="inlineStr">
        <is>
          <t>Background/Clearance</t>
        </is>
      </c>
      <c r="E16" s="7" t="inlineStr">
        <is>
          <t>Fingerprinting (Live Scan)</t>
        </is>
      </c>
      <c r="F16" s="7" t="inlineStr">
        <is>
          <t>INV-10011</t>
        </is>
      </c>
      <c r="G16" s="8" t="n">
        <v>1500</v>
      </c>
      <c r="H16" s="7" t="inlineStr">
        <is>
          <t>P-Card</t>
        </is>
      </c>
      <c r="I16" s="7" t="inlineStr">
        <is>
          <t>Pending</t>
        </is>
      </c>
      <c r="J16" s="7" t="inlineStr">
        <is>
          <t>S. Nguyen</t>
        </is>
      </c>
      <c r="K16" s="7" t="inlineStr">
        <is>
          <t>6500-03</t>
        </is>
      </c>
      <c r="L16" s="7" t="inlineStr">
        <is>
          <t>CLIN 0005</t>
        </is>
      </c>
      <c r="M16" s="8">
        <f>SUM(G3:G16)</f>
        <v/>
      </c>
      <c r="N16" s="7" t="inlineStr"/>
    </row>
    <row r="17">
      <c r="A17" s="6" t="n">
        <v>46096</v>
      </c>
      <c r="B17" s="3" t="inlineStr">
        <is>
          <t>Microsoft</t>
        </is>
      </c>
      <c r="C17" s="3" t="inlineStr">
        <is>
          <t>Teams E5 Licenses — 55 seats</t>
        </is>
      </c>
      <c r="D17" s="3" t="inlineStr">
        <is>
          <t>Overhead</t>
        </is>
      </c>
      <c r="E17" s="3" t="inlineStr">
        <is>
          <t>Collaboration Tools (MS Teams/Zoom)</t>
        </is>
      </c>
      <c r="F17" s="3" t="inlineStr">
        <is>
          <t>INV-10012</t>
        </is>
      </c>
      <c r="G17" s="4" t="n">
        <v>1650</v>
      </c>
      <c r="H17" s="3" t="inlineStr">
        <is>
          <t>Invoice</t>
        </is>
      </c>
      <c r="I17" s="3" t="inlineStr">
        <is>
          <t>Paid</t>
        </is>
      </c>
      <c r="J17" s="3" t="inlineStr">
        <is>
          <t>R. Thompson</t>
        </is>
      </c>
      <c r="K17" s="3" t="inlineStr">
        <is>
          <t>6600-02</t>
        </is>
      </c>
      <c r="L17" s="3" t="inlineStr">
        <is>
          <t>CLIN 0006</t>
        </is>
      </c>
      <c r="M17" s="4">
        <f>SUM(G3:G17)</f>
        <v/>
      </c>
      <c r="N17" s="3" t="inlineStr"/>
    </row>
    <row r="18">
      <c r="A18" s="10" t="n">
        <v>46101</v>
      </c>
      <c r="B18" s="7" t="inlineStr">
        <is>
          <t>CompTIA</t>
        </is>
      </c>
      <c r="C18" s="7" t="inlineStr">
        <is>
          <t>Security+ Exam Vouchers — 15</t>
        </is>
      </c>
      <c r="D18" s="7" t="inlineStr">
        <is>
          <t>Training</t>
        </is>
      </c>
      <c r="E18" s="7" t="inlineStr">
        <is>
          <t>Certification Exam Fees</t>
        </is>
      </c>
      <c r="F18" s="7" t="inlineStr">
        <is>
          <t>INV-10013</t>
        </is>
      </c>
      <c r="G18" s="8" t="n">
        <v>6000</v>
      </c>
      <c r="H18" s="7" t="inlineStr">
        <is>
          <t>Invoice</t>
        </is>
      </c>
      <c r="I18" s="7" t="inlineStr">
        <is>
          <t>Disputed</t>
        </is>
      </c>
      <c r="J18" s="7" t="inlineStr">
        <is>
          <t>J. Martinez</t>
        </is>
      </c>
      <c r="K18" s="7" t="inlineStr">
        <is>
          <t>6300-03</t>
        </is>
      </c>
      <c r="L18" s="7" t="inlineStr">
        <is>
          <t>CLIN 0003</t>
        </is>
      </c>
      <c r="M18" s="8">
        <f>SUM(G3:G18)</f>
        <v/>
      </c>
      <c r="N18" s="7" t="inlineStr"/>
    </row>
    <row r="19">
      <c r="A19" s="6" t="n">
        <v>46113</v>
      </c>
      <c r="B19" s="3" t="inlineStr">
        <is>
          <t>Dell Technologies</t>
        </is>
      </c>
      <c r="C19" s="3" t="inlineStr">
        <is>
          <t>Lot 2 — 15x Monitors + Peripherals</t>
        </is>
      </c>
      <c r="D19" s="3" t="inlineStr">
        <is>
          <t>Equipment/IT</t>
        </is>
      </c>
      <c r="E19" s="3" t="inlineStr">
        <is>
          <t>External Monitors</t>
        </is>
      </c>
      <c r="F19" s="3" t="inlineStr">
        <is>
          <t>INV-10014</t>
        </is>
      </c>
      <c r="G19" s="4" t="n">
        <v>5250</v>
      </c>
      <c r="H19" s="3" t="inlineStr">
        <is>
          <t>Invoice</t>
        </is>
      </c>
      <c r="I19" s="3" t="inlineStr">
        <is>
          <t>Pending</t>
        </is>
      </c>
      <c r="J19" s="3" t="inlineStr">
        <is>
          <t>S. Nguyen</t>
        </is>
      </c>
      <c r="K19" s="3" t="inlineStr">
        <is>
          <t>6200-04</t>
        </is>
      </c>
      <c r="L19" s="3" t="inlineStr">
        <is>
          <t>CLIN 0002</t>
        </is>
      </c>
      <c r="M19" s="4">
        <f>SUM(G3:G19)</f>
        <v/>
      </c>
      <c r="N19" s="3" t="inlineStr"/>
    </row>
    <row r="20">
      <c r="A20" s="10" t="n">
        <v>46117</v>
      </c>
      <c r="B20" s="7" t="inlineStr">
        <is>
          <t>Internal Payroll</t>
        </is>
      </c>
      <c r="C20" s="7" t="inlineStr">
        <is>
          <t>New Hire Salaries — Ramp Cohort 2 (10)</t>
        </is>
      </c>
      <c r="D20" s="7" t="inlineStr">
        <is>
          <t>Personnel</t>
        </is>
      </c>
      <c r="E20" s="7" t="inlineStr">
        <is>
          <t>Salary Costs — Ramp Period</t>
        </is>
      </c>
      <c r="F20" s="7" t="inlineStr">
        <is>
          <t>PAY-20003</t>
        </is>
      </c>
      <c r="G20" s="8" t="n">
        <v>45000</v>
      </c>
      <c r="H20" s="7" t="inlineStr">
        <is>
          <t>ACH</t>
        </is>
      </c>
      <c r="I20" s="7" t="inlineStr">
        <is>
          <t>Approved</t>
        </is>
      </c>
      <c r="J20" s="7" t="inlineStr">
        <is>
          <t>R. Thompson</t>
        </is>
      </c>
      <c r="K20" s="7" t="inlineStr">
        <is>
          <t>6400-02</t>
        </is>
      </c>
      <c r="L20" s="7" t="inlineStr">
        <is>
          <t>CLIN 0004</t>
        </is>
      </c>
      <c r="M20" s="8">
        <f>SUM(G3:G20)</f>
        <v/>
      </c>
      <c r="N20" s="7" t="inlineStr"/>
    </row>
    <row r="21">
      <c r="A21" s="6" t="n">
        <v>46122</v>
      </c>
      <c r="B21" s="3" t="inlineStr">
        <is>
          <t>Polygraph Associates LLC</t>
        </is>
      </c>
      <c r="C21" s="3" t="inlineStr">
        <is>
          <t>Full-Scope Poly — 5 candidates</t>
        </is>
      </c>
      <c r="D21" s="3" t="inlineStr">
        <is>
          <t>Background/Clearance</t>
        </is>
      </c>
      <c r="E21" s="3" t="inlineStr">
        <is>
          <t>Polygraph Examinations</t>
        </is>
      </c>
      <c r="F21" s="3" t="inlineStr">
        <is>
          <t>INV-10015</t>
        </is>
      </c>
      <c r="G21" s="4" t="n">
        <v>12500</v>
      </c>
      <c r="H21" s="3" t="inlineStr">
        <is>
          <t>Invoice</t>
        </is>
      </c>
      <c r="I21" s="3" t="inlineStr">
        <is>
          <t>Pending</t>
        </is>
      </c>
      <c r="J21" s="3" t="inlineStr">
        <is>
          <t>J. Martinez</t>
        </is>
      </c>
      <c r="K21" s="3" t="inlineStr">
        <is>
          <t>6500-04</t>
        </is>
      </c>
      <c r="L21" s="3" t="inlineStr">
        <is>
          <t>CLIN 0005</t>
        </is>
      </c>
      <c r="M21" s="4">
        <f>SUM(G3:G21)</f>
        <v/>
      </c>
      <c r="N21" s="3" t="inlineStr"/>
    </row>
    <row r="22">
      <c r="A22" s="10" t="n">
        <v>46127</v>
      </c>
      <c r="B22" s="7" t="inlineStr">
        <is>
          <t>WeWork</t>
        </is>
      </c>
      <c r="C22" s="7" t="inlineStr">
        <is>
          <t>Hoteling — 10 desks x 2 months</t>
        </is>
      </c>
      <c r="D22" s="7" t="inlineStr">
        <is>
          <t>Overhead</t>
        </is>
      </c>
      <c r="E22" s="7" t="inlineStr">
        <is>
          <t>Facilities / Hoteling Space</t>
        </is>
      </c>
      <c r="F22" s="7" t="inlineStr">
        <is>
          <t>INV-10016</t>
        </is>
      </c>
      <c r="G22" s="8" t="n">
        <v>10000</v>
      </c>
      <c r="H22" s="7" t="inlineStr">
        <is>
          <t>Invoice</t>
        </is>
      </c>
      <c r="I22" s="7" t="inlineStr">
        <is>
          <t>Approved</t>
        </is>
      </c>
      <c r="J22" s="7" t="inlineStr">
        <is>
          <t>R. Thompson</t>
        </is>
      </c>
      <c r="K22" s="7" t="inlineStr">
        <is>
          <t>6600-03</t>
        </is>
      </c>
      <c r="L22" s="7" t="inlineStr">
        <is>
          <t>CLIN 0006</t>
        </is>
      </c>
      <c r="M22" s="8">
        <f>SUM(G3:G22)</f>
        <v/>
      </c>
      <c r="N22" s="7" t="inlineStr"/>
    </row>
  </sheetData>
  <mergeCells count="1">
    <mergeCell ref="A1:N1"/>
  </mergeCells>
  <conditionalFormatting sqref="I3:I222">
    <cfRule type="cellIs" priority="1" operator="equal" dxfId="0">
      <formula>"Disputed"</formula>
    </cfRule>
    <cfRule type="cellIs" priority="2" operator="equal" dxfId="1">
      <formula>"Pending"</formula>
    </cfRule>
    <cfRule type="cellIs" priority="3" operator="equal" dxfId="2">
      <formula>"Paid"</formula>
    </cfRule>
  </conditionalFormatting>
  <dataValidations count="3">
    <dataValidation sqref="D3:D222" showDropDown="0" showInputMessage="0" showErrorMessage="0" allowBlank="1" type="list">
      <formula1>"Recruiting,Equipment/IT,Training,Personnel,Background/Clearance,Overhead,Contingency"</formula1>
    </dataValidation>
    <dataValidation sqref="H3:H222" showDropDown="0" showInputMessage="0" showErrorMessage="0" allowBlank="1" type="list">
      <formula1>"P-Card,Invoice,ACH,Check"</formula1>
    </dataValidation>
    <dataValidation sqref="I3:I222" showDropDown="0" showInputMessage="0" showErrorMessage="0" allowBlank="1" type="list">
      <formula1>"Pending,Approved,Paid,Disputed"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6" customWidth="1" min="3" max="3"/>
    <col width="26" customWidth="1" min="4" max="4"/>
    <col width="16" customWidth="1" min="5" max="5"/>
    <col width="20" customWidth="1" min="6" max="6"/>
    <col width="16" customWidth="1" min="7" max="7"/>
    <col width="14" customWidth="1" min="8" max="8"/>
    <col width="16" customWidth="1" min="9" max="9"/>
    <col width="18" customWidth="1" min="10" max="10"/>
    <col width="13" customWidth="1" min="11" max="11"/>
    <col width="14" customWidth="1" min="12" max="12"/>
  </cols>
  <sheetData>
    <row r="1" ht="30" customHeight="1">
      <c r="A1" s="1" t="inlineStr">
        <is>
          <t>Cost Per Hire Analysis — Surge Hiring Operation</t>
        </is>
      </c>
    </row>
    <row r="2" ht="28" customHeight="1">
      <c r="A2" s="17" t="inlineStr">
        <is>
          <t>Employee Name</t>
        </is>
      </c>
      <c r="B2" s="17" t="inlineStr">
        <is>
          <t>Position</t>
        </is>
      </c>
      <c r="C2" s="17" t="inlineStr">
        <is>
          <t>Clearance Level</t>
        </is>
      </c>
      <c r="D2" s="17" t="inlineStr">
        <is>
          <t>Start Date</t>
        </is>
      </c>
      <c r="E2" s="17" t="inlineStr">
        <is>
          <t>Recruiting Cost</t>
        </is>
      </c>
      <c r="F2" s="17" t="inlineStr">
        <is>
          <t>Background/Clearance Cost</t>
        </is>
      </c>
      <c r="G2" s="17" t="inlineStr">
        <is>
          <t>Equipment Cost</t>
        </is>
      </c>
      <c r="H2" s="17" t="inlineStr">
        <is>
          <t>Training Cost</t>
        </is>
      </c>
      <c r="I2" s="17" t="inlineStr">
        <is>
          <t>Onboarding Cost</t>
        </is>
      </c>
      <c r="J2" s="17" t="inlineStr">
        <is>
          <t>Total Cost to Hire</t>
        </is>
      </c>
      <c r="K2" s="17" t="inlineStr">
        <is>
          <t>Days to Fill</t>
        </is>
      </c>
      <c r="L2" s="17" t="inlineStr">
        <is>
          <t>Cost Per Day</t>
        </is>
      </c>
    </row>
    <row r="3">
      <c r="A3" s="3" t="inlineStr">
        <is>
          <t>Adams, Sarah</t>
        </is>
      </c>
      <c r="B3" s="3" t="inlineStr">
        <is>
          <t>IT Specialist</t>
        </is>
      </c>
      <c r="C3" s="3" t="inlineStr">
        <is>
          <t>Secret</t>
        </is>
      </c>
      <c r="D3" s="6" t="n">
        <v>46063</v>
      </c>
      <c r="E3" s="4" t="n">
        <v>3200</v>
      </c>
      <c r="F3" s="4" t="n">
        <v>1450</v>
      </c>
      <c r="G3" s="4" t="n">
        <v>2540</v>
      </c>
      <c r="H3" s="4" t="n">
        <v>1800</v>
      </c>
      <c r="I3" s="4" t="n">
        <v>500</v>
      </c>
      <c r="J3" s="4">
        <f>SUM(E3:I3)</f>
        <v/>
      </c>
      <c r="K3" s="5" t="n">
        <v>45</v>
      </c>
      <c r="L3" s="4">
        <f>IF(K3=0,0,J3/K3)</f>
        <v/>
      </c>
    </row>
    <row r="4">
      <c r="A4" s="7" t="inlineStr">
        <is>
          <t>Brooks, James</t>
        </is>
      </c>
      <c r="B4" s="7" t="inlineStr">
        <is>
          <t>Cybersecurity Analyst</t>
        </is>
      </c>
      <c r="C4" s="7" t="inlineStr">
        <is>
          <t>TS/SCI</t>
        </is>
      </c>
      <c r="D4" s="10" t="n">
        <v>46068</v>
      </c>
      <c r="E4" s="8" t="n">
        <v>4500</v>
      </c>
      <c r="F4" s="8" t="n">
        <v>3850</v>
      </c>
      <c r="G4" s="8" t="n">
        <v>2540</v>
      </c>
      <c r="H4" s="8" t="n">
        <v>2200</v>
      </c>
      <c r="I4" s="8" t="n">
        <v>600</v>
      </c>
      <c r="J4" s="8">
        <f>SUM(E4:I4)</f>
        <v/>
      </c>
      <c r="K4" s="9" t="n">
        <v>62</v>
      </c>
      <c r="L4" s="8">
        <f>IF(K4=0,0,J4/K4)</f>
        <v/>
      </c>
    </row>
    <row r="5">
      <c r="A5" s="3" t="inlineStr">
        <is>
          <t>Chen, Wei</t>
        </is>
      </c>
      <c r="B5" s="3" t="inlineStr">
        <is>
          <t>Help Desk Technician</t>
        </is>
      </c>
      <c r="C5" s="3" t="inlineStr">
        <is>
          <t>Public Trust</t>
        </is>
      </c>
      <c r="D5" s="6" t="n">
        <v>46071</v>
      </c>
      <c r="E5" s="4" t="n">
        <v>1800</v>
      </c>
      <c r="F5" s="4" t="n">
        <v>485</v>
      </c>
      <c r="G5" s="4" t="n">
        <v>2340</v>
      </c>
      <c r="H5" s="4" t="n">
        <v>1200</v>
      </c>
      <c r="I5" s="4" t="n">
        <v>400</v>
      </c>
      <c r="J5" s="4">
        <f>SUM(E5:I5)</f>
        <v/>
      </c>
      <c r="K5" s="5" t="n">
        <v>28</v>
      </c>
      <c r="L5" s="4">
        <f>IF(K5=0,0,J5/K5)</f>
        <v/>
      </c>
    </row>
    <row r="6">
      <c r="A6" s="7" t="inlineStr">
        <is>
          <t>Davis, Marcus</t>
        </is>
      </c>
      <c r="B6" s="7" t="inlineStr">
        <is>
          <t>Systems Administrator</t>
        </is>
      </c>
      <c r="C6" s="7" t="inlineStr">
        <is>
          <t>Secret</t>
        </is>
      </c>
      <c r="D6" s="10" t="n">
        <v>46077</v>
      </c>
      <c r="E6" s="8" t="n">
        <v>3500</v>
      </c>
      <c r="F6" s="8" t="n">
        <v>1450</v>
      </c>
      <c r="G6" s="8" t="n">
        <v>2540</v>
      </c>
      <c r="H6" s="8" t="n">
        <v>1800</v>
      </c>
      <c r="I6" s="8" t="n">
        <v>500</v>
      </c>
      <c r="J6" s="8">
        <f>SUM(E6:I6)</f>
        <v/>
      </c>
      <c r="K6" s="9" t="n">
        <v>38</v>
      </c>
      <c r="L6" s="8">
        <f>IF(K6=0,0,J6/K6)</f>
        <v/>
      </c>
    </row>
    <row r="7">
      <c r="A7" s="3" t="inlineStr">
        <is>
          <t>Evans, Patricia</t>
        </is>
      </c>
      <c r="B7" s="3" t="inlineStr">
        <is>
          <t>Network Engineer</t>
        </is>
      </c>
      <c r="C7" s="3" t="inlineStr">
        <is>
          <t>TS/SCI</t>
        </is>
      </c>
      <c r="D7" s="6" t="n">
        <v>46083</v>
      </c>
      <c r="E7" s="4" t="n">
        <v>5200</v>
      </c>
      <c r="F7" s="4" t="n">
        <v>3850</v>
      </c>
      <c r="G7" s="4" t="n">
        <v>2740</v>
      </c>
      <c r="H7" s="4" t="n">
        <v>2200</v>
      </c>
      <c r="I7" s="4" t="n">
        <v>650</v>
      </c>
      <c r="J7" s="4">
        <f>SUM(E7:I7)</f>
        <v/>
      </c>
      <c r="K7" s="5" t="n">
        <v>70</v>
      </c>
      <c r="L7" s="4">
        <f>IF(K7=0,0,J7/K7)</f>
        <v/>
      </c>
    </row>
    <row r="8">
      <c r="A8" s="7" t="inlineStr">
        <is>
          <t>Foster, Andre</t>
        </is>
      </c>
      <c r="B8" s="7" t="inlineStr">
        <is>
          <t>Program Analyst</t>
        </is>
      </c>
      <c r="C8" s="7" t="inlineStr">
        <is>
          <t>Secret</t>
        </is>
      </c>
      <c r="D8" s="10" t="n">
        <v>46086</v>
      </c>
      <c r="E8" s="8" t="n">
        <v>2800</v>
      </c>
      <c r="F8" s="8" t="n">
        <v>1450</v>
      </c>
      <c r="G8" s="8" t="n">
        <v>2340</v>
      </c>
      <c r="H8" s="8" t="n">
        <v>1500</v>
      </c>
      <c r="I8" s="8" t="n">
        <v>450</v>
      </c>
      <c r="J8" s="8">
        <f>SUM(E8:I8)</f>
        <v/>
      </c>
      <c r="K8" s="9" t="n">
        <v>35</v>
      </c>
      <c r="L8" s="8">
        <f>IF(K8=0,0,J8/K8)</f>
        <v/>
      </c>
    </row>
    <row r="9">
      <c r="A9" s="3" t="inlineStr">
        <is>
          <t>Garcia, Maria</t>
        </is>
      </c>
      <c r="B9" s="3" t="inlineStr">
        <is>
          <t>Data Analyst</t>
        </is>
      </c>
      <c r="C9" s="3" t="inlineStr">
        <is>
          <t>Secret</t>
        </is>
      </c>
      <c r="D9" s="6" t="n">
        <v>46091</v>
      </c>
      <c r="E9" s="4" t="n">
        <v>2600</v>
      </c>
      <c r="F9" s="4" t="n">
        <v>1450</v>
      </c>
      <c r="G9" s="4" t="n">
        <v>2540</v>
      </c>
      <c r="H9" s="4" t="n">
        <v>1600</v>
      </c>
      <c r="I9" s="4" t="n">
        <v>500</v>
      </c>
      <c r="J9" s="4">
        <f>SUM(E9:I9)</f>
        <v/>
      </c>
      <c r="K9" s="5" t="n">
        <v>33</v>
      </c>
      <c r="L9" s="4">
        <f>IF(K9=0,0,J9/K9)</f>
        <v/>
      </c>
    </row>
    <row r="10">
      <c r="A10" s="7" t="inlineStr">
        <is>
          <t>Harris, Tyrone</t>
        </is>
      </c>
      <c r="B10" s="7" t="inlineStr">
        <is>
          <t>SOC Analyst</t>
        </is>
      </c>
      <c r="C10" s="7" t="inlineStr">
        <is>
          <t>TS/SCI</t>
        </is>
      </c>
      <c r="D10" s="10" t="n">
        <v>46096</v>
      </c>
      <c r="E10" s="8" t="n">
        <v>4800</v>
      </c>
      <c r="F10" s="8" t="n">
        <v>3850</v>
      </c>
      <c r="G10" s="8" t="n">
        <v>2740</v>
      </c>
      <c r="H10" s="8" t="n">
        <v>2400</v>
      </c>
      <c r="I10" s="8" t="n">
        <v>700</v>
      </c>
      <c r="J10" s="8">
        <f>SUM(E10:I10)</f>
        <v/>
      </c>
      <c r="K10" s="9" t="n">
        <v>58</v>
      </c>
      <c r="L10" s="8">
        <f>IF(K10=0,0,J10/K10)</f>
        <v/>
      </c>
    </row>
    <row r="11">
      <c r="A11" s="3" t="inlineStr">
        <is>
          <t>Irving, Lisa</t>
        </is>
      </c>
      <c r="B11" s="3" t="inlineStr">
        <is>
          <t>Technical Writer</t>
        </is>
      </c>
      <c r="C11" s="3" t="inlineStr">
        <is>
          <t>Public Trust</t>
        </is>
      </c>
      <c r="D11" s="6" t="n">
        <v>46099</v>
      </c>
      <c r="E11" s="4" t="n">
        <v>1500</v>
      </c>
      <c r="F11" s="4" t="n">
        <v>485</v>
      </c>
      <c r="G11" s="4" t="n">
        <v>2140</v>
      </c>
      <c r="H11" s="4" t="n">
        <v>1000</v>
      </c>
      <c r="I11" s="4" t="n">
        <v>350</v>
      </c>
      <c r="J11" s="4">
        <f>SUM(E11:I11)</f>
        <v/>
      </c>
      <c r="K11" s="5" t="n">
        <v>22</v>
      </c>
      <c r="L11" s="4">
        <f>IF(K11=0,0,J11/K11)</f>
        <v/>
      </c>
    </row>
    <row r="12">
      <c r="A12" s="7" t="inlineStr">
        <is>
          <t>Johnson, Robert</t>
        </is>
      </c>
      <c r="B12" s="7" t="inlineStr">
        <is>
          <t>Cloud Engineer</t>
        </is>
      </c>
      <c r="C12" s="7" t="inlineStr">
        <is>
          <t>Secret</t>
        </is>
      </c>
      <c r="D12" s="10" t="n">
        <v>46106</v>
      </c>
      <c r="E12" s="8" t="n">
        <v>4200</v>
      </c>
      <c r="F12" s="8" t="n">
        <v>1450</v>
      </c>
      <c r="G12" s="8" t="n">
        <v>2740</v>
      </c>
      <c r="H12" s="8" t="n">
        <v>2000</v>
      </c>
      <c r="I12" s="8" t="n">
        <v>550</v>
      </c>
      <c r="J12" s="8">
        <f>SUM(E12:I12)</f>
        <v/>
      </c>
      <c r="K12" s="9" t="n">
        <v>48</v>
      </c>
      <c r="L12" s="8">
        <f>IF(K12=0,0,J12/K12)</f>
        <v/>
      </c>
    </row>
    <row r="13">
      <c r="A13" s="3" t="inlineStr">
        <is>
          <t>Kim, Daniel</t>
        </is>
      </c>
      <c r="B13" s="3" t="inlineStr">
        <is>
          <t>Information Assurance</t>
        </is>
      </c>
      <c r="C13" s="3" t="inlineStr">
        <is>
          <t>TS/SCI</t>
        </is>
      </c>
      <c r="D13" s="6" t="n">
        <v>46113</v>
      </c>
      <c r="E13" s="4" t="n">
        <v>5500</v>
      </c>
      <c r="F13" s="4" t="n">
        <v>3850</v>
      </c>
      <c r="G13" s="4" t="n">
        <v>2540</v>
      </c>
      <c r="H13" s="4" t="n">
        <v>2400</v>
      </c>
      <c r="I13" s="4" t="n">
        <v>750</v>
      </c>
      <c r="J13" s="4">
        <f>SUM(E13:I13)</f>
        <v/>
      </c>
      <c r="K13" s="5" t="n">
        <v>75</v>
      </c>
      <c r="L13" s="4">
        <f>IF(K13=0,0,J13/K13)</f>
        <v/>
      </c>
    </row>
    <row r="14">
      <c r="A14" s="7" t="inlineStr">
        <is>
          <t>Lopez, Carmen</t>
        </is>
      </c>
      <c r="B14" s="7" t="inlineStr">
        <is>
          <t>Help Desk Technician</t>
        </is>
      </c>
      <c r="C14" s="7" t="inlineStr">
        <is>
          <t>Public Trust</t>
        </is>
      </c>
      <c r="D14" s="10" t="n">
        <v>46117</v>
      </c>
      <c r="E14" s="8" t="n">
        <v>1600</v>
      </c>
      <c r="F14" s="8" t="n">
        <v>485</v>
      </c>
      <c r="G14" s="8" t="n">
        <v>2340</v>
      </c>
      <c r="H14" s="8" t="n">
        <v>1200</v>
      </c>
      <c r="I14" s="8" t="n">
        <v>400</v>
      </c>
      <c r="J14" s="8">
        <f>SUM(E14:I14)</f>
        <v/>
      </c>
      <c r="K14" s="9" t="n">
        <v>25</v>
      </c>
      <c r="L14" s="8">
        <f>IF(K14=0,0,J14/K14)</f>
        <v/>
      </c>
    </row>
    <row r="15">
      <c r="A15" s="3" t="inlineStr">
        <is>
          <t>Mitchell, David</t>
        </is>
      </c>
      <c r="B15" s="3" t="inlineStr">
        <is>
          <t>Database Administrator</t>
        </is>
      </c>
      <c r="C15" s="3" t="inlineStr">
        <is>
          <t>Secret</t>
        </is>
      </c>
      <c r="D15" s="6" t="n">
        <v>46120</v>
      </c>
      <c r="E15" s="4" t="n">
        <v>3800</v>
      </c>
      <c r="F15" s="4" t="n">
        <v>1450</v>
      </c>
      <c r="G15" s="4" t="n">
        <v>2540</v>
      </c>
      <c r="H15" s="4" t="n">
        <v>1800</v>
      </c>
      <c r="I15" s="4" t="n">
        <v>550</v>
      </c>
      <c r="J15" s="4">
        <f>SUM(E15:I15)</f>
        <v/>
      </c>
      <c r="K15" s="5" t="n">
        <v>42</v>
      </c>
      <c r="L15" s="4">
        <f>IF(K15=0,0,J15/K15)</f>
        <v/>
      </c>
    </row>
    <row r="16">
      <c r="A16" s="7" t="inlineStr">
        <is>
          <t>Nguyen, Thanh</t>
        </is>
      </c>
      <c r="B16" s="7" t="inlineStr">
        <is>
          <t>Software Developer</t>
        </is>
      </c>
      <c r="C16" s="7" t="inlineStr">
        <is>
          <t>TS/SCI</t>
        </is>
      </c>
      <c r="D16" s="10" t="n">
        <v>46124</v>
      </c>
      <c r="E16" s="8" t="n">
        <v>5800</v>
      </c>
      <c r="F16" s="8" t="n">
        <v>3850</v>
      </c>
      <c r="G16" s="8" t="n">
        <v>2740</v>
      </c>
      <c r="H16" s="8" t="n">
        <v>2600</v>
      </c>
      <c r="I16" s="8" t="n">
        <v>800</v>
      </c>
      <c r="J16" s="8">
        <f>SUM(E16:I16)</f>
        <v/>
      </c>
      <c r="K16" s="9" t="n">
        <v>68</v>
      </c>
      <c r="L16" s="8">
        <f>IF(K16=0,0,J16/K16)</f>
        <v/>
      </c>
    </row>
    <row r="17">
      <c r="A17" s="3" t="inlineStr">
        <is>
          <t>O'Brien, Kathleen</t>
        </is>
      </c>
      <c r="B17" s="3" t="inlineStr">
        <is>
          <t>Project Coordinator</t>
        </is>
      </c>
      <c r="C17" s="3" t="inlineStr">
        <is>
          <t>Secret</t>
        </is>
      </c>
      <c r="D17" s="6" t="n">
        <v>46127</v>
      </c>
      <c r="E17" s="4" t="n">
        <v>2400</v>
      </c>
      <c r="F17" s="4" t="n">
        <v>1450</v>
      </c>
      <c r="G17" s="4" t="n">
        <v>2340</v>
      </c>
      <c r="H17" s="4" t="n">
        <v>1400</v>
      </c>
      <c r="I17" s="4" t="n">
        <v>450</v>
      </c>
      <c r="J17" s="4">
        <f>SUM(E17:I17)</f>
        <v/>
      </c>
      <c r="K17" s="5" t="n">
        <v>30</v>
      </c>
      <c r="L17" s="4">
        <f>IF(K17=0,0,J17/K17)</f>
        <v/>
      </c>
    </row>
    <row r="18"/>
    <row r="19"/>
    <row r="20">
      <c r="A20" s="11" t="inlineStr">
        <is>
          <t>SUMMARY STATISTICS</t>
        </is>
      </c>
      <c r="B20" s="16" t="n"/>
      <c r="D20" s="11" t="inlineStr">
        <is>
          <t>BREAKDOWN BY POSITION TYPE</t>
        </is>
      </c>
      <c r="E20" s="16" t="n"/>
      <c r="F20" s="16" t="n"/>
      <c r="G20" s="16" t="n"/>
    </row>
    <row r="21">
      <c r="A21" s="13" t="inlineStr">
        <is>
          <t>Metric</t>
        </is>
      </c>
      <c r="B21" s="13" t="inlineStr">
        <is>
          <t>Value</t>
        </is>
      </c>
      <c r="D21" s="13" t="inlineStr">
        <is>
          <t>Position</t>
        </is>
      </c>
      <c r="E21" s="13" t="inlineStr">
        <is>
          <t>Count</t>
        </is>
      </c>
      <c r="F21" s="13" t="inlineStr">
        <is>
          <t>Avg Cost</t>
        </is>
      </c>
      <c r="G21" s="13" t="inlineStr">
        <is>
          <t>Avg Days</t>
        </is>
      </c>
    </row>
    <row r="22">
      <c r="A22" s="3" t="inlineStr">
        <is>
          <t>Average Cost Per Hire</t>
        </is>
      </c>
      <c r="B22" s="4">
        <f>AVERAGE(J3:J17)</f>
        <v/>
      </c>
      <c r="D22" s="3" t="inlineStr">
        <is>
          <t>Cloud Engineer</t>
        </is>
      </c>
      <c r="E22" s="3">
        <f>COUNTIF(B3:B17,D22)</f>
        <v/>
      </c>
      <c r="F22" s="4">
        <f>AVERAGEIF(B3:B17,D22,J3:J17)</f>
        <v/>
      </c>
      <c r="G22" s="20">
        <f>AVERAGEIF(B3:B17,D22,K3:K17)</f>
        <v/>
      </c>
    </row>
    <row r="23">
      <c r="A23" s="7" t="inlineStr">
        <is>
          <t>Median Cost Per Hire</t>
        </is>
      </c>
      <c r="B23" s="8">
        <f>MEDIAN(J3:J17)</f>
        <v/>
      </c>
      <c r="D23" s="7" t="inlineStr">
        <is>
          <t>Cybersecurity Analyst</t>
        </is>
      </c>
      <c r="E23" s="7">
        <f>COUNTIF(B3:B17,D23)</f>
        <v/>
      </c>
      <c r="F23" s="8">
        <f>AVERAGEIF(B3:B17,D23,J3:J17)</f>
        <v/>
      </c>
      <c r="G23" s="21">
        <f>AVERAGEIF(B3:B17,D23,K3:K17)</f>
        <v/>
      </c>
    </row>
    <row r="24">
      <c r="A24" s="3" t="inlineStr">
        <is>
          <t>Highest Cost Hire</t>
        </is>
      </c>
      <c r="B24" s="4">
        <f>MAX(J3:J17)</f>
        <v/>
      </c>
      <c r="D24" s="3" t="inlineStr">
        <is>
          <t>Data Analyst</t>
        </is>
      </c>
      <c r="E24" s="3">
        <f>COUNTIF(B3:B17,D24)</f>
        <v/>
      </c>
      <c r="F24" s="4">
        <f>AVERAGEIF(B3:B17,D24,J3:J17)</f>
        <v/>
      </c>
      <c r="G24" s="20">
        <f>AVERAGEIF(B3:B17,D24,K3:K17)</f>
        <v/>
      </c>
    </row>
    <row r="25">
      <c r="A25" s="7" t="inlineStr">
        <is>
          <t>Lowest Cost Hire</t>
        </is>
      </c>
      <c r="B25" s="8">
        <f>MIN(J3:J17)</f>
        <v/>
      </c>
      <c r="D25" s="7" t="inlineStr">
        <is>
          <t>Database Administrator</t>
        </is>
      </c>
      <c r="E25" s="7">
        <f>COUNTIF(B3:B17,D25)</f>
        <v/>
      </c>
      <c r="F25" s="8">
        <f>AVERAGEIF(B3:B17,D25,J3:J17)</f>
        <v/>
      </c>
      <c r="G25" s="21">
        <f>AVERAGEIF(B3:B17,D25,K3:K17)</f>
        <v/>
      </c>
    </row>
    <row r="26">
      <c r="A26" s="3" t="inlineStr">
        <is>
          <t>Average Days to Fill</t>
        </is>
      </c>
      <c r="B26" s="20">
        <f>AVERAGE(K3:K17)</f>
        <v/>
      </c>
      <c r="D26" s="3" t="inlineStr">
        <is>
          <t>Help Desk Technician</t>
        </is>
      </c>
      <c r="E26" s="3">
        <f>COUNTIF(B3:B17,D26)</f>
        <v/>
      </c>
      <c r="F26" s="4">
        <f>AVERAGEIF(B3:B17,D26,J3:J17)</f>
        <v/>
      </c>
      <c r="G26" s="20">
        <f>AVERAGEIF(B3:B17,D26,K3:K17)</f>
        <v/>
      </c>
    </row>
    <row r="27">
      <c r="A27" s="7" t="inlineStr">
        <is>
          <t>Total Hires</t>
        </is>
      </c>
      <c r="B27" s="21">
        <f>COUNTA(A3:A17)</f>
        <v/>
      </c>
      <c r="D27" s="7" t="inlineStr">
        <is>
          <t>IT Specialist</t>
        </is>
      </c>
      <c r="E27" s="7">
        <f>COUNTIF(B3:B17,D27)</f>
        <v/>
      </c>
      <c r="F27" s="8">
        <f>AVERAGEIF(B3:B17,D27,J3:J17)</f>
        <v/>
      </c>
      <c r="G27" s="21">
        <f>AVERAGEIF(B3:B17,D27,K3:K17)</f>
        <v/>
      </c>
    </row>
    <row r="28">
      <c r="A28" s="3" t="inlineStr">
        <is>
          <t>Total Recruiting Spend</t>
        </is>
      </c>
      <c r="B28" s="4">
        <f>SUM(J3:J17)</f>
        <v/>
      </c>
      <c r="D28" s="3" t="inlineStr">
        <is>
          <t>Information Assurance</t>
        </is>
      </c>
      <c r="E28" s="3">
        <f>COUNTIF(B3:B17,D28)</f>
        <v/>
      </c>
      <c r="F28" s="4">
        <f>AVERAGEIF(B3:B17,D28,J3:J17)</f>
        <v/>
      </c>
      <c r="G28" s="20">
        <f>AVERAGEIF(B3:B17,D28,K3:K17)</f>
        <v/>
      </c>
    </row>
    <row r="29">
      <c r="D29" s="7" t="inlineStr">
        <is>
          <t>Network Engineer</t>
        </is>
      </c>
      <c r="E29" s="7">
        <f>COUNTIF(B3:B17,D29)</f>
        <v/>
      </c>
      <c r="F29" s="8">
        <f>AVERAGEIF(B3:B17,D29,J3:J17)</f>
        <v/>
      </c>
      <c r="G29" s="21">
        <f>AVERAGEIF(B3:B17,D29,K3:K17)</f>
        <v/>
      </c>
    </row>
    <row r="30">
      <c r="D30" s="3" t="inlineStr">
        <is>
          <t>Program Analyst</t>
        </is>
      </c>
      <c r="E30" s="3">
        <f>COUNTIF(B3:B17,D30)</f>
        <v/>
      </c>
      <c r="F30" s="4">
        <f>AVERAGEIF(B3:B17,D30,J3:J17)</f>
        <v/>
      </c>
      <c r="G30" s="20">
        <f>AVERAGEIF(B3:B17,D30,K3:K17)</f>
        <v/>
      </c>
    </row>
    <row r="31">
      <c r="D31" s="7" t="inlineStr">
        <is>
          <t>Project Coordinator</t>
        </is>
      </c>
      <c r="E31" s="7">
        <f>COUNTIF(B3:B17,D31)</f>
        <v/>
      </c>
      <c r="F31" s="8">
        <f>AVERAGEIF(B3:B17,D31,J3:J17)</f>
        <v/>
      </c>
      <c r="G31" s="21">
        <f>AVERAGEIF(B3:B17,D31,K3:K17)</f>
        <v/>
      </c>
    </row>
    <row r="32">
      <c r="D32" s="3" t="inlineStr">
        <is>
          <t>SOC Analyst</t>
        </is>
      </c>
      <c r="E32" s="3">
        <f>COUNTIF(B3:B17,D32)</f>
        <v/>
      </c>
      <c r="F32" s="4">
        <f>AVERAGEIF(B3:B17,D32,J3:J17)</f>
        <v/>
      </c>
      <c r="G32" s="20">
        <f>AVERAGEIF(B3:B17,D32,K3:K17)</f>
        <v/>
      </c>
    </row>
    <row r="33">
      <c r="D33" s="7" t="inlineStr">
        <is>
          <t>Software Developer</t>
        </is>
      </c>
      <c r="E33" s="7">
        <f>COUNTIF(B3:B17,D33)</f>
        <v/>
      </c>
      <c r="F33" s="8">
        <f>AVERAGEIF(B3:B17,D33,J3:J17)</f>
        <v/>
      </c>
      <c r="G33" s="21">
        <f>AVERAGEIF(B3:B17,D33,K3:K17)</f>
        <v/>
      </c>
    </row>
    <row r="34">
      <c r="D34" s="3" t="inlineStr">
        <is>
          <t>Systems Administrator</t>
        </is>
      </c>
      <c r="E34" s="3">
        <f>COUNTIF(B3:B17,D34)</f>
        <v/>
      </c>
      <c r="F34" s="4">
        <f>AVERAGEIF(B3:B17,D34,J3:J17)</f>
        <v/>
      </c>
      <c r="G34" s="20">
        <f>AVERAGEIF(B3:B17,D34,K3:K17)</f>
        <v/>
      </c>
    </row>
    <row r="35">
      <c r="D35" s="7" t="inlineStr">
        <is>
          <t>Technical Writer</t>
        </is>
      </c>
      <c r="E35" s="7">
        <f>COUNTIF(B3:B17,D35)</f>
        <v/>
      </c>
      <c r="F35" s="8">
        <f>AVERAGEIF(B3:B17,D35,J3:J17)</f>
        <v/>
      </c>
      <c r="G35" s="21">
        <f>AVERAGEIF(B3:B17,D35,K3:K17)</f>
        <v/>
      </c>
    </row>
    <row r="36"/>
    <row r="37">
      <c r="D37" s="11" t="inlineStr">
        <is>
          <t>BREAKDOWN BY CLEARANCE LEVEL</t>
        </is>
      </c>
      <c r="E37" s="16" t="n"/>
      <c r="F37" s="16" t="n"/>
      <c r="G37" s="16" t="n"/>
    </row>
    <row r="38">
      <c r="D38" s="13" t="inlineStr">
        <is>
          <t>Clearance Level</t>
        </is>
      </c>
      <c r="E38" s="13" t="inlineStr">
        <is>
          <t>Count</t>
        </is>
      </c>
      <c r="F38" s="13" t="inlineStr">
        <is>
          <t>Avg Cost</t>
        </is>
      </c>
      <c r="G38" s="13" t="inlineStr">
        <is>
          <t>Avg Days</t>
        </is>
      </c>
    </row>
    <row r="39">
      <c r="D39" s="3" t="inlineStr">
        <is>
          <t>Public Trust</t>
        </is>
      </c>
      <c r="E39" s="3">
        <f>COUNTIF(C3:C17,D39)</f>
        <v/>
      </c>
      <c r="F39" s="4">
        <f>AVERAGEIF(C3:C17,D39,J3:J17)</f>
        <v/>
      </c>
      <c r="G39" s="20">
        <f>AVERAGEIF(C3:C17,D39,K3:K17)</f>
        <v/>
      </c>
    </row>
    <row r="40">
      <c r="D40" s="7" t="inlineStr">
        <is>
          <t>Secret</t>
        </is>
      </c>
      <c r="E40" s="7">
        <f>COUNTIF(C3:C17,D40)</f>
        <v/>
      </c>
      <c r="F40" s="8">
        <f>AVERAGEIF(C3:C17,D40,J3:J17)</f>
        <v/>
      </c>
      <c r="G40" s="21">
        <f>AVERAGEIF(C3:C17,D40,K3:K17)</f>
        <v/>
      </c>
    </row>
    <row r="41">
      <c r="D41" s="3" t="inlineStr">
        <is>
          <t>TS/SCI</t>
        </is>
      </c>
      <c r="E41" s="3">
        <f>COUNTIF(C3:C17,D41)</f>
        <v/>
      </c>
      <c r="F41" s="4">
        <f>AVERAGEIF(C3:C17,D41,J3:J17)</f>
        <v/>
      </c>
      <c r="G41" s="20">
        <f>AVERAGEIF(C3:C17,D41,K3:K17)</f>
        <v/>
      </c>
    </row>
  </sheetData>
  <mergeCells count="4">
    <mergeCell ref="A20:B20"/>
    <mergeCell ref="D37:G37"/>
    <mergeCell ref="D20:G20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6" customWidth="1" min="4" max="4"/>
    <col width="14" customWidth="1" min="5" max="5"/>
    <col width="16" customWidth="1" min="6" max="6"/>
    <col width="30" customWidth="1" min="7" max="7"/>
    <col width="30" customWidth="1" min="8" max="8"/>
  </cols>
  <sheetData>
    <row r="1" ht="30" customHeight="1">
      <c r="A1" s="1" t="inlineStr">
        <is>
          <t>Variance Report — Budget vs Actual</t>
        </is>
      </c>
    </row>
    <row r="2" ht="28" customHeight="1">
      <c r="A2" s="17" t="inlineStr">
        <is>
          <t>Category</t>
        </is>
      </c>
      <c r="B2" s="17" t="inlineStr">
        <is>
          <t>Budgeted Amount</t>
        </is>
      </c>
      <c r="C2" s="17" t="inlineStr">
        <is>
          <t>Actual Amount</t>
        </is>
      </c>
      <c r="D2" s="17" t="inlineStr">
        <is>
          <t>Variance ($)</t>
        </is>
      </c>
      <c r="E2" s="17" t="inlineStr">
        <is>
          <t>Variance (%)</t>
        </is>
      </c>
      <c r="F2" s="17" t="inlineStr">
        <is>
          <t>Status</t>
        </is>
      </c>
      <c r="G2" s="17" t="inlineStr">
        <is>
          <t>Explanation</t>
        </is>
      </c>
      <c r="H2" s="17" t="inlineStr">
        <is>
          <t>Corrective Action</t>
        </is>
      </c>
    </row>
    <row r="3">
      <c r="A3" s="3" t="inlineStr">
        <is>
          <t>Recruiting</t>
        </is>
      </c>
      <c r="B3" s="4">
        <f>SUMIFS('Budget Plan'!F3:F35,'Budget Plan'!B3:B35,A3)</f>
        <v/>
      </c>
      <c r="C3" s="4">
        <f>SUMIFS('Expenditure Log'!G3:G22,'Expenditure Log'!D3:D22,A3)</f>
        <v/>
      </c>
      <c r="D3" s="4">
        <f>B3-C3</f>
        <v/>
      </c>
      <c r="E3" s="22">
        <f>IF(B3=0,0,D3/B3)</f>
        <v/>
      </c>
      <c r="F3" s="3">
        <f>IF(D3&lt;0,"Over Budget",IF(E3&lt;=0.1,"On Track","Under Budget"))</f>
        <v/>
      </c>
      <c r="G3" s="3" t="inlineStr"/>
      <c r="H3" s="3" t="inlineStr"/>
    </row>
    <row r="4">
      <c r="A4" s="7" t="inlineStr">
        <is>
          <t>Equipment/IT</t>
        </is>
      </c>
      <c r="B4" s="8">
        <f>SUMIFS('Budget Plan'!F3:F35,'Budget Plan'!B3:B35,A4)</f>
        <v/>
      </c>
      <c r="C4" s="8">
        <f>SUMIFS('Expenditure Log'!G3:G22,'Expenditure Log'!D3:D22,A4)</f>
        <v/>
      </c>
      <c r="D4" s="8">
        <f>B4-C4</f>
        <v/>
      </c>
      <c r="E4" s="23">
        <f>IF(B4=0,0,D4/B4)</f>
        <v/>
      </c>
      <c r="F4" s="7">
        <f>IF(D4&lt;0,"Over Budget",IF(E4&lt;=0.1,"On Track","Under Budget"))</f>
        <v/>
      </c>
      <c r="G4" s="7" t="inlineStr"/>
      <c r="H4" s="7" t="inlineStr"/>
    </row>
    <row r="5">
      <c r="A5" s="3" t="inlineStr">
        <is>
          <t>Training</t>
        </is>
      </c>
      <c r="B5" s="4">
        <f>SUMIFS('Budget Plan'!F3:F35,'Budget Plan'!B3:B35,A5)</f>
        <v/>
      </c>
      <c r="C5" s="4">
        <f>SUMIFS('Expenditure Log'!G3:G22,'Expenditure Log'!D3:D22,A5)</f>
        <v/>
      </c>
      <c r="D5" s="4">
        <f>B5-C5</f>
        <v/>
      </c>
      <c r="E5" s="22">
        <f>IF(B5=0,0,D5/B5)</f>
        <v/>
      </c>
      <c r="F5" s="3">
        <f>IF(D5&lt;0,"Over Budget",IF(E5&lt;=0.1,"On Track","Under Budget"))</f>
        <v/>
      </c>
      <c r="G5" s="3" t="inlineStr"/>
      <c r="H5" s="3" t="inlineStr"/>
    </row>
    <row r="6">
      <c r="A6" s="7" t="inlineStr">
        <is>
          <t>Personnel</t>
        </is>
      </c>
      <c r="B6" s="8">
        <f>SUMIFS('Budget Plan'!F3:F35,'Budget Plan'!B3:B35,A6)</f>
        <v/>
      </c>
      <c r="C6" s="8">
        <f>SUMIFS('Expenditure Log'!G3:G22,'Expenditure Log'!D3:D22,A6)</f>
        <v/>
      </c>
      <c r="D6" s="8">
        <f>B6-C6</f>
        <v/>
      </c>
      <c r="E6" s="23">
        <f>IF(B6=0,0,D6/B6)</f>
        <v/>
      </c>
      <c r="F6" s="7">
        <f>IF(D6&lt;0,"Over Budget",IF(E6&lt;=0.1,"On Track","Under Budget"))</f>
        <v/>
      </c>
      <c r="G6" s="7" t="inlineStr"/>
      <c r="H6" s="7" t="inlineStr"/>
    </row>
    <row r="7">
      <c r="A7" s="3" t="inlineStr">
        <is>
          <t>Background/Clearance</t>
        </is>
      </c>
      <c r="B7" s="4">
        <f>SUMIFS('Budget Plan'!F3:F35,'Budget Plan'!B3:B35,A7)</f>
        <v/>
      </c>
      <c r="C7" s="4">
        <f>SUMIFS('Expenditure Log'!G3:G22,'Expenditure Log'!D3:D22,A7)</f>
        <v/>
      </c>
      <c r="D7" s="4">
        <f>B7-C7</f>
        <v/>
      </c>
      <c r="E7" s="22">
        <f>IF(B7=0,0,D7/B7)</f>
        <v/>
      </c>
      <c r="F7" s="3">
        <f>IF(D7&lt;0,"Over Budget",IF(E7&lt;=0.1,"On Track","Under Budget"))</f>
        <v/>
      </c>
      <c r="G7" s="3" t="inlineStr"/>
      <c r="H7" s="3" t="inlineStr"/>
    </row>
    <row r="8">
      <c r="A8" s="7" t="inlineStr">
        <is>
          <t>Overhead</t>
        </is>
      </c>
      <c r="B8" s="8">
        <f>SUMIFS('Budget Plan'!F3:F35,'Budget Plan'!B3:B35,A8)</f>
        <v/>
      </c>
      <c r="C8" s="8">
        <f>SUMIFS('Expenditure Log'!G3:G22,'Expenditure Log'!D3:D22,A8)</f>
        <v/>
      </c>
      <c r="D8" s="8">
        <f>B8-C8</f>
        <v/>
      </c>
      <c r="E8" s="23">
        <f>IF(B8=0,0,D8/B8)</f>
        <v/>
      </c>
      <c r="F8" s="7">
        <f>IF(D8&lt;0,"Over Budget",IF(E8&lt;=0.1,"On Track","Under Budget"))</f>
        <v/>
      </c>
      <c r="G8" s="7" t="inlineStr"/>
      <c r="H8" s="7" t="inlineStr"/>
    </row>
    <row r="9">
      <c r="A9" s="3" t="inlineStr">
        <is>
          <t>Contingency</t>
        </is>
      </c>
      <c r="B9" s="4">
        <f>SUMIFS('Budget Plan'!F3:F35,'Budget Plan'!B3:B35,A9)</f>
        <v/>
      </c>
      <c r="C9" s="4">
        <f>SUMIFS('Expenditure Log'!G3:G22,'Expenditure Log'!D3:D22,A9)</f>
        <v/>
      </c>
      <c r="D9" s="4">
        <f>B9-C9</f>
        <v/>
      </c>
      <c r="E9" s="22">
        <f>IF(B9=0,0,D9/B9)</f>
        <v/>
      </c>
      <c r="F9" s="3">
        <f>IF(D9&lt;0,"Over Budget",IF(E9&lt;=0.1,"On Track","Under Budget"))</f>
        <v/>
      </c>
      <c r="G9" s="3" t="inlineStr"/>
      <c r="H9" s="3" t="inlineStr"/>
    </row>
    <row r="10">
      <c r="A10" s="14" t="inlineStr">
        <is>
          <t>TOTAL</t>
        </is>
      </c>
      <c r="B10" s="15">
        <f>SUM(B3:B9)</f>
        <v/>
      </c>
      <c r="C10" s="15">
        <f>SUM(C3:C9)</f>
        <v/>
      </c>
      <c r="D10" s="15">
        <f>B10-C10</f>
        <v/>
      </c>
      <c r="E10" s="24">
        <f>IF(B10=0,0,D10/B10)</f>
        <v/>
      </c>
      <c r="F10" s="14">
        <f>IF(D10&lt;0,"Over Budget",IF(E10&lt;=0.1,"On Track","Under Budget"))</f>
        <v/>
      </c>
      <c r="G10" s="14" t="n"/>
      <c r="H10" s="14" t="n"/>
    </row>
  </sheetData>
  <mergeCells count="1">
    <mergeCell ref="A1:H1"/>
  </mergeCells>
  <conditionalFormatting sqref="F3:F9">
    <cfRule type="cellIs" priority="1" operator="equal" dxfId="0">
      <formula>"Over Budget"</formula>
    </cfRule>
    <cfRule type="cellIs" priority="2" operator="equal" dxfId="1">
      <formula>"On Track"</formula>
    </cfRule>
    <cfRule type="cellIs" priority="3" operator="equal" dxfId="2">
      <formula>"Under Budget"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cols>
    <col width="5" customWidth="1" min="1" max="1"/>
    <col width="34" customWidth="1" min="2" max="2"/>
    <col width="5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6" customWidth="1" min="16" max="16"/>
  </cols>
  <sheetData>
    <row r="1" ht="30" customHeight="1">
      <c r="A1" s="1" t="inlineStr">
        <is>
          <t>12-Month Forecast — Surge Hiring Budget</t>
        </is>
      </c>
    </row>
    <row r="2">
      <c r="A2" s="25" t="inlineStr"/>
      <c r="B2" s="25" t="inlineStr"/>
      <c r="C2" s="25" t="inlineStr"/>
      <c r="D2" s="25" t="inlineStr">
        <is>
          <t>Month 1</t>
        </is>
      </c>
      <c r="E2" s="25" t="inlineStr">
        <is>
          <t>Month 2</t>
        </is>
      </c>
      <c r="F2" s="25" t="inlineStr">
        <is>
          <t>Month 3</t>
        </is>
      </c>
      <c r="G2" s="25" t="inlineStr">
        <is>
          <t>Month 4</t>
        </is>
      </c>
      <c r="H2" s="25" t="inlineStr">
        <is>
          <t>Month 5</t>
        </is>
      </c>
      <c r="I2" s="25" t="inlineStr">
        <is>
          <t>Month 6</t>
        </is>
      </c>
      <c r="J2" s="25" t="inlineStr">
        <is>
          <t>Month 7</t>
        </is>
      </c>
      <c r="K2" s="25" t="inlineStr">
        <is>
          <t>Month 8</t>
        </is>
      </c>
      <c r="L2" s="25" t="inlineStr">
        <is>
          <t>Month 9</t>
        </is>
      </c>
      <c r="M2" s="25" t="inlineStr">
        <is>
          <t>Month 10</t>
        </is>
      </c>
      <c r="N2" s="25" t="inlineStr">
        <is>
          <t>Month 11</t>
        </is>
      </c>
      <c r="O2" s="25" t="inlineStr">
        <is>
          <t>Month 12</t>
        </is>
      </c>
      <c r="P2" s="25" t="inlineStr">
        <is>
          <t>Annual Total</t>
        </is>
      </c>
    </row>
    <row r="3">
      <c r="A3" s="26" t="inlineStr">
        <is>
          <t>PLANNED SPEND</t>
        </is>
      </c>
      <c r="B3" s="64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27" t="n"/>
    </row>
    <row r="4">
      <c r="A4" s="3" t="inlineStr"/>
      <c r="B4" s="3" t="inlineStr">
        <is>
          <t>Recruiting</t>
        </is>
      </c>
      <c r="C4" s="3" t="n"/>
      <c r="D4" s="28" t="n">
        <v>12000</v>
      </c>
      <c r="E4" s="28" t="n">
        <v>15000</v>
      </c>
      <c r="F4" s="28" t="n">
        <v>10000</v>
      </c>
      <c r="G4" s="28" t="n">
        <v>8000</v>
      </c>
      <c r="H4" s="28" t="n">
        <v>5000</v>
      </c>
      <c r="I4" s="28" t="n">
        <v>3000</v>
      </c>
      <c r="J4" s="28" t="n">
        <v>2000</v>
      </c>
      <c r="K4" s="28" t="n">
        <v>1000</v>
      </c>
      <c r="L4" s="28" t="n">
        <v>1000</v>
      </c>
      <c r="M4" s="28" t="n">
        <v>500</v>
      </c>
      <c r="N4" s="28" t="n">
        <v>500</v>
      </c>
      <c r="O4" s="28" t="n">
        <v>500</v>
      </c>
      <c r="P4" s="28">
        <f>SUM(D4:O4)</f>
        <v/>
      </c>
    </row>
    <row r="5">
      <c r="A5" s="7" t="inlineStr"/>
      <c r="B5" s="7" t="inlineStr">
        <is>
          <t>Equipment/IT</t>
        </is>
      </c>
      <c r="C5" s="7" t="n"/>
      <c r="D5" s="29" t="n">
        <v>20000</v>
      </c>
      <c r="E5" s="29" t="n">
        <v>25000</v>
      </c>
      <c r="F5" s="29" t="n">
        <v>15000</v>
      </c>
      <c r="G5" s="29" t="n">
        <v>10000</v>
      </c>
      <c r="H5" s="29" t="n">
        <v>5000</v>
      </c>
      <c r="I5" s="29" t="n">
        <v>3000</v>
      </c>
      <c r="J5" s="29" t="n">
        <v>2000</v>
      </c>
      <c r="K5" s="29" t="n">
        <v>1000</v>
      </c>
      <c r="L5" s="29" t="n">
        <v>1000</v>
      </c>
      <c r="M5" s="29" t="n">
        <v>500</v>
      </c>
      <c r="N5" s="29" t="n">
        <v>500</v>
      </c>
      <c r="O5" s="29" t="n">
        <v>500</v>
      </c>
      <c r="P5" s="29">
        <f>SUM(D5:O5)</f>
        <v/>
      </c>
    </row>
    <row r="6">
      <c r="A6" s="3" t="inlineStr"/>
      <c r="B6" s="3" t="inlineStr">
        <is>
          <t>Training</t>
        </is>
      </c>
      <c r="C6" s="3" t="n"/>
      <c r="D6" s="28" t="n">
        <v>2000</v>
      </c>
      <c r="E6" s="28" t="n">
        <v>5000</v>
      </c>
      <c r="F6" s="28" t="n">
        <v>10000</v>
      </c>
      <c r="G6" s="28" t="n">
        <v>8000</v>
      </c>
      <c r="H6" s="28" t="n">
        <v>6000</v>
      </c>
      <c r="I6" s="28" t="n">
        <v>4000</v>
      </c>
      <c r="J6" s="28" t="n">
        <v>3000</v>
      </c>
      <c r="K6" s="28" t="n">
        <v>2000</v>
      </c>
      <c r="L6" s="28" t="n">
        <v>1500</v>
      </c>
      <c r="M6" s="28" t="n">
        <v>1000</v>
      </c>
      <c r="N6" s="28" t="n">
        <v>500</v>
      </c>
      <c r="O6" s="28" t="n">
        <v>500</v>
      </c>
      <c r="P6" s="28">
        <f>SUM(D6:O6)</f>
        <v/>
      </c>
    </row>
    <row r="7">
      <c r="A7" s="7" t="inlineStr"/>
      <c r="B7" s="7" t="inlineStr">
        <is>
          <t>Personnel</t>
        </is>
      </c>
      <c r="C7" s="7" t="n"/>
      <c r="D7" s="29" t="n">
        <v>5000</v>
      </c>
      <c r="E7" s="29" t="n">
        <v>20000</v>
      </c>
      <c r="F7" s="29" t="n">
        <v>45000</v>
      </c>
      <c r="G7" s="29" t="n">
        <v>50000</v>
      </c>
      <c r="H7" s="29" t="n">
        <v>50000</v>
      </c>
      <c r="I7" s="29" t="n">
        <v>50000</v>
      </c>
      <c r="J7" s="29" t="n">
        <v>50000</v>
      </c>
      <c r="K7" s="29" t="n">
        <v>50000</v>
      </c>
      <c r="L7" s="29" t="n">
        <v>50000</v>
      </c>
      <c r="M7" s="29" t="n">
        <v>50000</v>
      </c>
      <c r="N7" s="29" t="n">
        <v>50000</v>
      </c>
      <c r="O7" s="29" t="n">
        <v>50000</v>
      </c>
      <c r="P7" s="29">
        <f>SUM(D7:O7)</f>
        <v/>
      </c>
    </row>
    <row r="8">
      <c r="A8" s="3" t="inlineStr"/>
      <c r="B8" s="3" t="inlineStr">
        <is>
          <t>Background/Clearance</t>
        </is>
      </c>
      <c r="C8" s="3" t="n"/>
      <c r="D8" s="28" t="n">
        <v>5000</v>
      </c>
      <c r="E8" s="28" t="n">
        <v>8000</v>
      </c>
      <c r="F8" s="28" t="n">
        <v>6000</v>
      </c>
      <c r="G8" s="28" t="n">
        <v>4000</v>
      </c>
      <c r="H8" s="28" t="n">
        <v>2000</v>
      </c>
      <c r="I8" s="28" t="n">
        <v>1000</v>
      </c>
      <c r="J8" s="28" t="n">
        <v>500</v>
      </c>
      <c r="K8" s="28" t="n">
        <v>500</v>
      </c>
      <c r="L8" s="28" t="n">
        <v>500</v>
      </c>
      <c r="M8" s="28" t="n">
        <v>500</v>
      </c>
      <c r="N8" s="28" t="n">
        <v>500</v>
      </c>
      <c r="O8" s="28" t="n">
        <v>500</v>
      </c>
      <c r="P8" s="28">
        <f>SUM(D8:O8)</f>
        <v/>
      </c>
    </row>
    <row r="9">
      <c r="A9" s="7" t="inlineStr"/>
      <c r="B9" s="7" t="inlineStr">
        <is>
          <t>Overhead</t>
        </is>
      </c>
      <c r="C9" s="7" t="n"/>
      <c r="D9" s="29" t="n">
        <v>3000</v>
      </c>
      <c r="E9" s="29" t="n">
        <v>5000</v>
      </c>
      <c r="F9" s="29" t="n">
        <v>6000</v>
      </c>
      <c r="G9" s="29" t="n">
        <v>6000</v>
      </c>
      <c r="H9" s="29" t="n">
        <v>5000</v>
      </c>
      <c r="I9" s="29" t="n">
        <v>5000</v>
      </c>
      <c r="J9" s="29" t="n">
        <v>4000</v>
      </c>
      <c r="K9" s="29" t="n">
        <v>4000</v>
      </c>
      <c r="L9" s="29" t="n">
        <v>4000</v>
      </c>
      <c r="M9" s="29" t="n">
        <v>4000</v>
      </c>
      <c r="N9" s="29" t="n">
        <v>4000</v>
      </c>
      <c r="O9" s="29" t="n">
        <v>4000</v>
      </c>
      <c r="P9" s="29">
        <f>SUM(D9:O9)</f>
        <v/>
      </c>
    </row>
    <row r="10">
      <c r="A10" s="3" t="inlineStr"/>
      <c r="B10" s="3" t="inlineStr">
        <is>
          <t>Contingency</t>
        </is>
      </c>
      <c r="C10" s="3" t="n"/>
      <c r="D10" s="28" t="n">
        <v>0</v>
      </c>
      <c r="E10" s="28" t="n">
        <v>0</v>
      </c>
      <c r="F10" s="28" t="n">
        <v>0</v>
      </c>
      <c r="G10" s="28" t="n">
        <v>0</v>
      </c>
      <c r="H10" s="28" t="n">
        <v>0</v>
      </c>
      <c r="I10" s="28" t="n">
        <v>0</v>
      </c>
      <c r="J10" s="28" t="n">
        <v>0</v>
      </c>
      <c r="K10" s="28" t="n">
        <v>0</v>
      </c>
      <c r="L10" s="28" t="n">
        <v>0</v>
      </c>
      <c r="M10" s="28" t="n">
        <v>0</v>
      </c>
      <c r="N10" s="28" t="n">
        <v>0</v>
      </c>
      <c r="O10" s="28" t="n">
        <v>0</v>
      </c>
      <c r="P10" s="28">
        <f>SUM(D10:O10)</f>
        <v/>
      </c>
    </row>
    <row r="11">
      <c r="A11" s="30" t="n"/>
      <c r="B11" s="30" t="inlineStr">
        <is>
          <t>Total Planned</t>
        </is>
      </c>
      <c r="C11" s="30" t="n"/>
      <c r="D11" s="31">
        <f>SUM(D4:D10)</f>
        <v/>
      </c>
      <c r="E11" s="31">
        <f>SUM(E4:E10)</f>
        <v/>
      </c>
      <c r="F11" s="31">
        <f>SUM(F4:F10)</f>
        <v/>
      </c>
      <c r="G11" s="31">
        <f>SUM(G4:G10)</f>
        <v/>
      </c>
      <c r="H11" s="31">
        <f>SUM(H4:H10)</f>
        <v/>
      </c>
      <c r="I11" s="31">
        <f>SUM(I4:I10)</f>
        <v/>
      </c>
      <c r="J11" s="31">
        <f>SUM(J4:J10)</f>
        <v/>
      </c>
      <c r="K11" s="31">
        <f>SUM(K4:K10)</f>
        <v/>
      </c>
      <c r="L11" s="31">
        <f>SUM(L4:L10)</f>
        <v/>
      </c>
      <c r="M11" s="31">
        <f>SUM(M4:M10)</f>
        <v/>
      </c>
      <c r="N11" s="31">
        <f>SUM(N4:N10)</f>
        <v/>
      </c>
      <c r="O11" s="31">
        <f>SUM(O4:O10)</f>
        <v/>
      </c>
      <c r="P11" s="31">
        <f>SUM(D11:O11)</f>
        <v/>
      </c>
    </row>
    <row r="12"/>
    <row r="13">
      <c r="A13" s="32" t="inlineStr">
        <is>
          <t>ACTUAL SPEND</t>
        </is>
      </c>
      <c r="B13" s="64" t="n"/>
      <c r="C13" s="33" t="n"/>
      <c r="D13" s="33" t="n"/>
      <c r="E13" s="33" t="n"/>
      <c r="F13" s="33" t="n"/>
      <c r="G13" s="33" t="n"/>
      <c r="H13" s="33" t="n"/>
      <c r="I13" s="33" t="n"/>
      <c r="J13" s="33" t="n"/>
      <c r="K13" s="33" t="n"/>
      <c r="L13" s="33" t="n"/>
      <c r="M13" s="33" t="n"/>
      <c r="N13" s="33" t="n"/>
      <c r="O13" s="33" t="n"/>
      <c r="P13" s="33" t="n"/>
    </row>
    <row r="14">
      <c r="A14" s="3" t="inlineStr"/>
      <c r="B14" s="3" t="inlineStr">
        <is>
          <t>Recruiting</t>
        </is>
      </c>
      <c r="C14" s="3" t="n"/>
      <c r="D14" s="28" t="n">
        <v>13500</v>
      </c>
      <c r="E14" s="28" t="n">
        <v>18500</v>
      </c>
      <c r="F14" s="28" t="n">
        <v>8000</v>
      </c>
      <c r="G14" s="28" t="n">
        <v>6400</v>
      </c>
      <c r="H14" s="28" t="n">
        <v>0</v>
      </c>
      <c r="I14" s="28" t="n">
        <v>0</v>
      </c>
      <c r="J14" s="28" t="n">
        <v>0</v>
      </c>
      <c r="K14" s="28" t="n">
        <v>0</v>
      </c>
      <c r="L14" s="28" t="n">
        <v>0</v>
      </c>
      <c r="M14" s="28" t="n">
        <v>0</v>
      </c>
      <c r="N14" s="28" t="n">
        <v>0</v>
      </c>
      <c r="O14" s="28" t="n">
        <v>0</v>
      </c>
      <c r="P14" s="28">
        <f>SUM(D14:O14)</f>
        <v/>
      </c>
    </row>
    <row r="15">
      <c r="A15" s="7" t="inlineStr"/>
      <c r="B15" s="7" t="inlineStr">
        <is>
          <t>Equipment/IT</t>
        </is>
      </c>
      <c r="C15" s="7" t="n"/>
      <c r="D15" s="29" t="n">
        <v>22000</v>
      </c>
      <c r="E15" s="29" t="n">
        <v>23700</v>
      </c>
      <c r="F15" s="29" t="n">
        <v>5250</v>
      </c>
      <c r="G15" s="29" t="n">
        <v>0</v>
      </c>
      <c r="H15" s="29" t="n">
        <v>0</v>
      </c>
      <c r="I15" s="29" t="n">
        <v>0</v>
      </c>
      <c r="J15" s="29" t="n">
        <v>0</v>
      </c>
      <c r="K15" s="29" t="n">
        <v>0</v>
      </c>
      <c r="L15" s="29" t="n">
        <v>0</v>
      </c>
      <c r="M15" s="29" t="n">
        <v>0</v>
      </c>
      <c r="N15" s="29" t="n">
        <v>0</v>
      </c>
      <c r="O15" s="29" t="n">
        <v>0</v>
      </c>
      <c r="P15" s="29">
        <f>SUM(D15:O15)</f>
        <v/>
      </c>
    </row>
    <row r="16">
      <c r="A16" s="3" t="inlineStr"/>
      <c r="B16" s="3" t="inlineStr">
        <is>
          <t>Training</t>
        </is>
      </c>
      <c r="C16" s="3" t="n"/>
      <c r="D16" s="28" t="n">
        <v>1500</v>
      </c>
      <c r="E16" s="28" t="n">
        <v>3000</v>
      </c>
      <c r="F16" s="28" t="n">
        <v>12000</v>
      </c>
      <c r="G16" s="28" t="n">
        <v>0</v>
      </c>
      <c r="H16" s="28" t="n">
        <v>0</v>
      </c>
      <c r="I16" s="28" t="n">
        <v>0</v>
      </c>
      <c r="J16" s="28" t="n">
        <v>0</v>
      </c>
      <c r="K16" s="28" t="n">
        <v>0</v>
      </c>
      <c r="L16" s="28" t="n">
        <v>0</v>
      </c>
      <c r="M16" s="28" t="n">
        <v>0</v>
      </c>
      <c r="N16" s="28" t="n">
        <v>0</v>
      </c>
      <c r="O16" s="28" t="n">
        <v>0</v>
      </c>
      <c r="P16" s="28">
        <f>SUM(D16:O16)</f>
        <v/>
      </c>
    </row>
    <row r="17">
      <c r="A17" s="7" t="inlineStr"/>
      <c r="B17" s="7" t="inlineStr">
        <is>
          <t>Personnel</t>
        </is>
      </c>
      <c r="C17" s="7" t="n"/>
      <c r="D17" s="29" t="n">
        <v>4800</v>
      </c>
      <c r="E17" s="29" t="n">
        <v>0</v>
      </c>
      <c r="F17" s="29" t="n">
        <v>67500</v>
      </c>
      <c r="G17" s="29" t="n">
        <v>45000</v>
      </c>
      <c r="H17" s="29" t="n">
        <v>0</v>
      </c>
      <c r="I17" s="29" t="n">
        <v>0</v>
      </c>
      <c r="J17" s="29" t="n">
        <v>0</v>
      </c>
      <c r="K17" s="29" t="n">
        <v>0</v>
      </c>
      <c r="L17" s="29" t="n">
        <v>0</v>
      </c>
      <c r="M17" s="29" t="n">
        <v>0</v>
      </c>
      <c r="N17" s="29" t="n">
        <v>0</v>
      </c>
      <c r="O17" s="29" t="n">
        <v>0</v>
      </c>
      <c r="P17" s="29">
        <f>SUM(D17:O17)</f>
        <v/>
      </c>
    </row>
    <row r="18">
      <c r="A18" s="3" t="inlineStr"/>
      <c r="B18" s="3" t="inlineStr">
        <is>
          <t>Background/Clearance</t>
        </is>
      </c>
      <c r="C18" s="3" t="n"/>
      <c r="D18" s="28" t="n">
        <v>0</v>
      </c>
      <c r="E18" s="28" t="n">
        <v>9125</v>
      </c>
      <c r="F18" s="28" t="n">
        <v>1500</v>
      </c>
      <c r="G18" s="28" t="n">
        <v>12500</v>
      </c>
      <c r="H18" s="28" t="n">
        <v>0</v>
      </c>
      <c r="I18" s="28" t="n">
        <v>0</v>
      </c>
      <c r="J18" s="28" t="n">
        <v>0</v>
      </c>
      <c r="K18" s="28" t="n">
        <v>0</v>
      </c>
      <c r="L18" s="28" t="n">
        <v>0</v>
      </c>
      <c r="M18" s="28" t="n">
        <v>0</v>
      </c>
      <c r="N18" s="28" t="n">
        <v>0</v>
      </c>
      <c r="O18" s="28" t="n">
        <v>0</v>
      </c>
      <c r="P18" s="28">
        <f>SUM(D18:O18)</f>
        <v/>
      </c>
    </row>
    <row r="19">
      <c r="A19" s="7" t="inlineStr"/>
      <c r="B19" s="7" t="inlineStr">
        <is>
          <t>Overhead</t>
        </is>
      </c>
      <c r="C19" s="7" t="n"/>
      <c r="D19" s="29" t="n">
        <v>0</v>
      </c>
      <c r="E19" s="29" t="n">
        <v>6600</v>
      </c>
      <c r="F19" s="29" t="n">
        <v>1650</v>
      </c>
      <c r="G19" s="29" t="n">
        <v>10000</v>
      </c>
      <c r="H19" s="29" t="n">
        <v>0</v>
      </c>
      <c r="I19" s="29" t="n">
        <v>0</v>
      </c>
      <c r="J19" s="29" t="n">
        <v>0</v>
      </c>
      <c r="K19" s="29" t="n">
        <v>0</v>
      </c>
      <c r="L19" s="29" t="n">
        <v>0</v>
      </c>
      <c r="M19" s="29" t="n">
        <v>0</v>
      </c>
      <c r="N19" s="29" t="n">
        <v>0</v>
      </c>
      <c r="O19" s="29" t="n">
        <v>0</v>
      </c>
      <c r="P19" s="29">
        <f>SUM(D19:O19)</f>
        <v/>
      </c>
    </row>
    <row r="20">
      <c r="A20" s="3" t="inlineStr"/>
      <c r="B20" s="3" t="inlineStr">
        <is>
          <t>Contingency</t>
        </is>
      </c>
      <c r="C20" s="3" t="n"/>
      <c r="D20" s="28" t="n">
        <v>0</v>
      </c>
      <c r="E20" s="28" t="n">
        <v>0</v>
      </c>
      <c r="F20" s="28" t="n">
        <v>0</v>
      </c>
      <c r="G20" s="28" t="n">
        <v>0</v>
      </c>
      <c r="H20" s="28" t="n">
        <v>0</v>
      </c>
      <c r="I20" s="28" t="n">
        <v>0</v>
      </c>
      <c r="J20" s="28" t="n">
        <v>0</v>
      </c>
      <c r="K20" s="28" t="n">
        <v>0</v>
      </c>
      <c r="L20" s="28" t="n">
        <v>0</v>
      </c>
      <c r="M20" s="28" t="n">
        <v>0</v>
      </c>
      <c r="N20" s="28" t="n">
        <v>0</v>
      </c>
      <c r="O20" s="28" t="n">
        <v>0</v>
      </c>
      <c r="P20" s="28">
        <f>SUM(D20:O20)</f>
        <v/>
      </c>
    </row>
    <row r="21">
      <c r="A21" s="34" t="n"/>
      <c r="B21" s="34" t="inlineStr">
        <is>
          <t>Total Actual</t>
        </is>
      </c>
      <c r="C21" s="34" t="n"/>
      <c r="D21" s="35">
        <f>SUM(D14:D20)</f>
        <v/>
      </c>
      <c r="E21" s="35">
        <f>SUM(E14:E20)</f>
        <v/>
      </c>
      <c r="F21" s="35">
        <f>SUM(F14:F20)</f>
        <v/>
      </c>
      <c r="G21" s="35">
        <f>SUM(G14:G20)</f>
        <v/>
      </c>
      <c r="H21" s="35">
        <f>SUM(H14:H20)</f>
        <v/>
      </c>
      <c r="I21" s="35">
        <f>SUM(I14:I20)</f>
        <v/>
      </c>
      <c r="J21" s="35">
        <f>SUM(J14:J20)</f>
        <v/>
      </c>
      <c r="K21" s="35">
        <f>SUM(K14:K20)</f>
        <v/>
      </c>
      <c r="L21" s="35">
        <f>SUM(L14:L20)</f>
        <v/>
      </c>
      <c r="M21" s="35">
        <f>SUM(M14:M20)</f>
        <v/>
      </c>
      <c r="N21" s="35">
        <f>SUM(N14:N20)</f>
        <v/>
      </c>
      <c r="O21" s="35">
        <f>SUM(O14:O20)</f>
        <v/>
      </c>
      <c r="P21" s="35">
        <f>SUM(D21:O21)</f>
        <v/>
      </c>
    </row>
    <row r="22"/>
    <row r="23">
      <c r="A23" s="36" t="inlineStr">
        <is>
          <t>CUMULATIVE COMPARISON</t>
        </is>
      </c>
      <c r="B23" s="64" t="n"/>
      <c r="C23" s="37" t="n"/>
      <c r="D23" s="37" t="n"/>
      <c r="E23" s="37" t="n"/>
      <c r="F23" s="37" t="n"/>
      <c r="G23" s="37" t="n"/>
      <c r="H23" s="37" t="n"/>
      <c r="I23" s="37" t="n"/>
      <c r="J23" s="37" t="n"/>
      <c r="K23" s="37" t="n"/>
      <c r="L23" s="37" t="n"/>
      <c r="M23" s="37" t="n"/>
      <c r="N23" s="37" t="n"/>
      <c r="O23" s="37" t="n"/>
      <c r="P23" s="37" t="n"/>
    </row>
    <row r="24">
      <c r="A24" s="38" t="n"/>
      <c r="B24" s="38" t="inlineStr">
        <is>
          <t>Cumulative Planned</t>
        </is>
      </c>
      <c r="C24" s="38" t="n"/>
      <c r="D24" s="39">
        <f>D11</f>
        <v/>
      </c>
      <c r="E24" s="39">
        <f>D24+E11</f>
        <v/>
      </c>
      <c r="F24" s="39">
        <f>E24+F11</f>
        <v/>
      </c>
      <c r="G24" s="39">
        <f>F24+G11</f>
        <v/>
      </c>
      <c r="H24" s="39">
        <f>G24+H11</f>
        <v/>
      </c>
      <c r="I24" s="39">
        <f>H24+I11</f>
        <v/>
      </c>
      <c r="J24" s="39">
        <f>I24+J11</f>
        <v/>
      </c>
      <c r="K24" s="39">
        <f>J24+K11</f>
        <v/>
      </c>
      <c r="L24" s="39">
        <f>K24+L11</f>
        <v/>
      </c>
      <c r="M24" s="39">
        <f>L24+M11</f>
        <v/>
      </c>
      <c r="N24" s="39">
        <f>M24+N11</f>
        <v/>
      </c>
      <c r="O24" s="39">
        <f>N24+O11</f>
        <v/>
      </c>
      <c r="P24" s="39">
        <f>O24</f>
        <v/>
      </c>
    </row>
    <row r="25">
      <c r="A25" s="38" t="n"/>
      <c r="B25" s="38" t="inlineStr">
        <is>
          <t>Cumulative Actual</t>
        </is>
      </c>
      <c r="C25" s="38" t="n"/>
      <c r="D25" s="39">
        <f>D21</f>
        <v/>
      </c>
      <c r="E25" s="39">
        <f>D25+E21</f>
        <v/>
      </c>
      <c r="F25" s="39">
        <f>E25+F21</f>
        <v/>
      </c>
      <c r="G25" s="39">
        <f>F25+G21</f>
        <v/>
      </c>
      <c r="H25" s="39">
        <f>G25+H21</f>
        <v/>
      </c>
      <c r="I25" s="39">
        <f>H25+I21</f>
        <v/>
      </c>
      <c r="J25" s="39">
        <f>I25+J21</f>
        <v/>
      </c>
      <c r="K25" s="39">
        <f>J25+K21</f>
        <v/>
      </c>
      <c r="L25" s="39">
        <f>K25+L21</f>
        <v/>
      </c>
      <c r="M25" s="39">
        <f>L25+M21</f>
        <v/>
      </c>
      <c r="N25" s="39">
        <f>M25+N21</f>
        <v/>
      </c>
      <c r="O25" s="39">
        <f>N25+O21</f>
        <v/>
      </c>
      <c r="P25" s="39">
        <f>O25</f>
        <v/>
      </c>
    </row>
    <row r="26">
      <c r="A26" s="38" t="n"/>
      <c r="B26" s="38" t="inlineStr">
        <is>
          <t>Cumulative Variance</t>
        </is>
      </c>
      <c r="C26" s="38" t="n"/>
      <c r="D26" s="39">
        <f>D24-D25</f>
        <v/>
      </c>
      <c r="E26" s="39">
        <f>E24-E25</f>
        <v/>
      </c>
      <c r="F26" s="39">
        <f>F24-F25</f>
        <v/>
      </c>
      <c r="G26" s="39">
        <f>G24-G25</f>
        <v/>
      </c>
      <c r="H26" s="39">
        <f>H24-H25</f>
        <v/>
      </c>
      <c r="I26" s="39">
        <f>I24-I25</f>
        <v/>
      </c>
      <c r="J26" s="39">
        <f>J24-J25</f>
        <v/>
      </c>
      <c r="K26" s="39">
        <f>K24-K25</f>
        <v/>
      </c>
      <c r="L26" s="39">
        <f>L24-L25</f>
        <v/>
      </c>
      <c r="M26" s="39">
        <f>M24-M25</f>
        <v/>
      </c>
      <c r="N26" s="39">
        <f>N24-N25</f>
        <v/>
      </c>
      <c r="O26" s="39">
        <f>O24-O25</f>
        <v/>
      </c>
      <c r="P26" s="39">
        <f>P24-P25</f>
        <v/>
      </c>
    </row>
    <row r="27"/>
    <row r="28">
      <c r="A28" s="40" t="inlineStr">
        <is>
          <t>PROJECTIONS</t>
        </is>
      </c>
      <c r="C28" s="41" t="n"/>
      <c r="D28" s="41" t="n"/>
    </row>
    <row r="29">
      <c r="A29" s="13" t="inlineStr">
        <is>
          <t>Metric</t>
        </is>
      </c>
      <c r="B29" s="13" t="inlineStr">
        <is>
          <t>Value</t>
        </is>
      </c>
    </row>
    <row r="30">
      <c r="A30" s="3" t="inlineStr">
        <is>
          <t>Total Budget (Planned)</t>
        </is>
      </c>
      <c r="B30" s="28">
        <f>P24</f>
        <v/>
      </c>
    </row>
    <row r="31">
      <c r="A31" s="7" t="inlineStr">
        <is>
          <t>Actual Spend to Date</t>
        </is>
      </c>
      <c r="B31" s="29">
        <f>P25</f>
        <v/>
      </c>
    </row>
    <row r="32">
      <c r="A32" s="3" t="inlineStr">
        <is>
          <t>Remaining Planned</t>
        </is>
      </c>
      <c r="B32" s="28">
        <f>P24-P25</f>
        <v/>
      </c>
    </row>
    <row r="33">
      <c r="A33" s="7" t="inlineStr">
        <is>
          <t>Estimate at Completion (EAC)</t>
        </is>
      </c>
      <c r="B33" s="29">
        <f>P25+(P24-P25)</f>
        <v/>
      </c>
    </row>
    <row r="34">
      <c r="A34" s="3" t="inlineStr">
        <is>
          <t>Estimate to Complete (ETC)</t>
        </is>
      </c>
      <c r="B34" s="28">
        <f>P24-P25</f>
        <v/>
      </c>
    </row>
    <row r="35">
      <c r="A35" s="7" t="inlineStr">
        <is>
          <t>Variance at Completion (VAC)</t>
        </is>
      </c>
      <c r="B35" s="29">
        <f>P24-B33</f>
        <v/>
      </c>
    </row>
    <row r="36">
      <c r="A36" s="3" t="inlineStr">
        <is>
          <t>Cost Performance Index (CPI)</t>
        </is>
      </c>
      <c r="B36" s="42">
        <f>IF(P25=0,0,P24/P25)</f>
        <v/>
      </c>
    </row>
  </sheetData>
  <mergeCells count="5">
    <mergeCell ref="A1:P1"/>
    <mergeCell ref="A28:B28"/>
    <mergeCell ref="A13:B13"/>
    <mergeCell ref="A23:B23"/>
    <mergeCell ref="A3:B3"/>
  </mergeCells>
  <conditionalFormatting sqref="D26:O26">
    <cfRule type="cellIs" priority="1" operator="lessThan" dxfId="0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2026-04-20T23:36:57Z</dcterms:created>
  <dcterms:modified xmlns:dcterms="http://purl.org/dc/terms/" xmlns:xsi="http://www.w3.org/2001/XMLSchema-instance" xsi:type="dcterms:W3CDTF">2026-04-20T23:42:14Z</dcterms:modified>
</cp:coreProperties>
</file>
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et Inventory" sheetId="2" state="visible" r:id="rId2"/>
    <sheet xmlns:r="http://schemas.openxmlformats.org/officeDocument/2006/relationships" name="Procurement Tracker" sheetId="3" state="visible" r:id="rId3"/>
    <sheet xmlns:r="http://schemas.openxmlformats.org/officeDocument/2006/relationships" name="Deployment Tracker" sheetId="4" state="visible" r:id="rId4"/>
    <sheet xmlns:r="http://schemas.openxmlformats.org/officeDocument/2006/relationships" name="Return Tracker" sheetId="5" state="visible" r:id="rId5"/>
    <sheet xmlns:r="http://schemas.openxmlformats.org/officeDocument/2006/relationships" name="Remote Workspace Checklist" sheetId="6" state="visible" r:id="rId6"/>
    <sheet xmlns:r="http://schemas.openxmlformats.org/officeDocument/2006/relationships" name="Ale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%"/>
    <numFmt numFmtId="167" formatCode="0.0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1F4E79"/>
      <sz val="11"/>
    </font>
    <font>
      <b val="1"/>
      <color rgb="00FFFFFF"/>
      <sz val="12"/>
    </font>
    <font>
      <b val="1"/>
      <color rgb="001F4E79"/>
    </font>
    <font>
      <b val="1"/>
      <sz val="12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EDF2F9"/>
        <bgColor rgb="00EDF2F9"/>
      </patternFill>
    </fill>
  </fills>
  <borders count="25">
    <border>
      <left/>
      <right/>
      <top/>
      <bottom/>
      <diagonal/>
    </border>
    <border>
      <left/>
      <right/>
      <top/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 style="medium">
        <color rgb="002E75B6"/>
      </left>
      <right/>
      <top style="medium">
        <color rgb="002E75B6"/>
      </top>
      <bottom style="medium">
        <color rgb="002E75B6"/>
      </bottom>
    </border>
    <border>
      <left/>
      <right/>
      <top style="medium">
        <color rgb="002E75B6"/>
      </top>
      <bottom style="medium">
        <color rgb="002E75B6"/>
      </bottom>
    </border>
    <border>
      <left/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B4C6E7"/>
      </left>
      <right/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 style="thin">
        <color rgb="00B4C6E7"/>
      </bottom>
    </border>
    <border>
      <left/>
      <right style="thin">
        <color rgb="00B4C6E7"/>
      </right>
      <top style="thin">
        <color rgb="00B4C6E7"/>
      </top>
      <bottom style="thin">
        <color rgb="00B4C6E7"/>
      </bottom>
    </border>
    <border>
      <left style="medium">
        <color rgb="002E75B6"/>
      </left>
      <right/>
      <top style="medium">
        <color rgb="002E75B6"/>
      </top>
      <bottom/>
    </border>
    <border>
      <left/>
      <right/>
      <top style="medium">
        <color rgb="002E75B6"/>
      </top>
      <bottom/>
    </border>
    <border>
      <left/>
      <right style="medium">
        <color rgb="002E75B6"/>
      </right>
      <top style="medium">
        <color rgb="002E75B6"/>
      </top>
      <bottom/>
    </border>
    <border>
      <left style="medium">
        <color rgb="002E75B6"/>
      </left>
      <right/>
      <top style="thin">
        <color rgb="00B4C6E7"/>
      </top>
      <bottom style="thin">
        <color rgb="00B4C6E7"/>
      </bottom>
    </border>
    <border>
      <left/>
      <right style="medium">
        <color rgb="002E75B6"/>
      </right>
      <top style="thin">
        <color rgb="00B4C6E7"/>
      </top>
      <bottom style="thin">
        <color rgb="00B4C6E7"/>
      </bottom>
    </border>
    <border>
      <left style="medium">
        <color rgb="002E75B6"/>
      </left>
      <right/>
      <top/>
      <bottom style="medium">
        <color rgb="002E75B6"/>
      </bottom>
    </border>
    <border>
      <left/>
      <right/>
      <top/>
      <bottom style="medium">
        <color rgb="002E75B6"/>
      </bottom>
    </border>
    <border>
      <left/>
      <right style="medium">
        <color rgb="002E75B6"/>
      </right>
      <top/>
      <bottom style="medium">
        <color rgb="002E75B6"/>
      </bottom>
    </border>
    <border>
      <left/>
      <right/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/>
      <right/>
      <top style="medium">
        <color rgb="002E75B6"/>
      </top>
      <bottom/>
      <diagonal/>
    </border>
    <border>
      <left/>
      <right style="medium">
        <color rgb="002E75B6"/>
      </right>
      <top style="medium">
        <color rgb="002E75B6"/>
      </top>
      <bottom/>
      <diagonal/>
    </border>
    <border>
      <left/>
      <right/>
      <top style="medium">
        <color rgb="002E75B6"/>
      </top>
      <bottom style="medium">
        <color rgb="002E75B6"/>
      </bottom>
      <diagonal/>
    </border>
    <border>
      <left/>
      <right style="medium">
        <color rgb="002E75B6"/>
      </right>
      <top style="medium">
        <color rgb="002E75B6"/>
      </top>
      <bottom style="medium">
        <color rgb="002E75B6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3" applyAlignment="1" pivotButton="0" quotePrefix="0" xfId="0">
      <alignment horizontal="center" wrapText="1"/>
    </xf>
    <xf numFmtId="0" fontId="0" fillId="3" borderId="2" pivotButton="0" quotePrefix="0" xfId="0"/>
    <xf numFmtId="164" fontId="0" fillId="3" borderId="2" pivotButton="0" quotePrefix="0" xfId="0"/>
    <xf numFmtId="165" fontId="0" fillId="3" borderId="2" pivotButton="0" quotePrefix="0" xfId="0"/>
    <xf numFmtId="0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164" fontId="0" fillId="3" borderId="2" pivotButton="0" quotePrefix="0" xfId="0"/>
    <xf numFmtId="164" fontId="0" fillId="0" borderId="2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4" fillId="4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7" pivotButton="0" quotePrefix="0" xfId="0"/>
    <xf numFmtId="0" fontId="0" fillId="0" borderId="8" pivotButton="0" quotePrefix="0" xfId="0"/>
    <xf numFmtId="0" fontId="6" fillId="0" borderId="9" applyAlignment="1" pivotButton="0" quotePrefix="0" xfId="0">
      <alignment horizontal="center"/>
    </xf>
    <xf numFmtId="0" fontId="5" fillId="3" borderId="10" applyAlignment="1" pivotButton="0" quotePrefix="0" xfId="0">
      <alignment horizontal="center"/>
    </xf>
    <xf numFmtId="0" fontId="5" fillId="3" borderId="11" applyAlignment="1" pivotButton="0" quotePrefix="0" xfId="0">
      <alignment horizontal="center"/>
    </xf>
    <xf numFmtId="0" fontId="5" fillId="3" borderId="12" applyAlignment="1" pivotButton="0" quotePrefix="0" xfId="0">
      <alignment horizontal="center"/>
    </xf>
    <xf numFmtId="0" fontId="5" fillId="5" borderId="7" pivotButton="0" quotePrefix="0" xfId="0"/>
    <xf numFmtId="0" fontId="0" fillId="5" borderId="8" pivotButton="0" quotePrefix="0" xfId="0"/>
    <xf numFmtId="0" fontId="6" fillId="5" borderId="9" applyAlignment="1" pivotButton="0" quotePrefix="0" xfId="0">
      <alignment horizontal="center"/>
    </xf>
    <xf numFmtId="0" fontId="0" fillId="5" borderId="13" pivotButton="0" quotePrefix="0" xfId="0"/>
    <xf numFmtId="0" fontId="0" fillId="5" borderId="8" applyAlignment="1" pivotButton="0" quotePrefix="0" xfId="0">
      <alignment horizontal="center"/>
    </xf>
    <xf numFmtId="165" fontId="0" fillId="5" borderId="14" pivotButton="0" quotePrefix="0" xfId="0"/>
    <xf numFmtId="0" fontId="0" fillId="0" borderId="13" pivotButton="0" quotePrefix="0" xfId="0"/>
    <xf numFmtId="0" fontId="0" fillId="0" borderId="8" applyAlignment="1" pivotButton="0" quotePrefix="0" xfId="0">
      <alignment horizontal="center"/>
    </xf>
    <xf numFmtId="165" fontId="0" fillId="0" borderId="14" pivotButton="0" quotePrefix="0" xfId="0"/>
    <xf numFmtId="165" fontId="6" fillId="5" borderId="9" applyAlignment="1" pivotButton="0" quotePrefix="0" xfId="0">
      <alignment horizontal="center"/>
    </xf>
    <xf numFmtId="165" fontId="6" fillId="0" borderId="9" applyAlignment="1" pivotButton="0" quotePrefix="0" xfId="0">
      <alignment horizontal="center"/>
    </xf>
    <xf numFmtId="166" fontId="6" fillId="0" borderId="9" applyAlignment="1" pivotButton="0" quotePrefix="0" xfId="0">
      <alignment horizontal="center"/>
    </xf>
    <xf numFmtId="0" fontId="7" fillId="3" borderId="15" pivotButton="0" quotePrefix="0" xfId="0"/>
    <xf numFmtId="0" fontId="7" fillId="3" borderId="16" applyAlignment="1" pivotButton="0" quotePrefix="0" xfId="0">
      <alignment horizontal="center"/>
    </xf>
    <xf numFmtId="165" fontId="7" fillId="3" borderId="17" pivotButton="0" quotePrefix="0" xfId="0"/>
    <xf numFmtId="0" fontId="7" fillId="5" borderId="9" applyAlignment="1" pivotButton="0" quotePrefix="0" xfId="0">
      <alignment horizontal="center"/>
    </xf>
    <xf numFmtId="0" fontId="8" fillId="4" borderId="4" pivotButton="0" quotePrefix="0" xfId="0"/>
    <xf numFmtId="0" fontId="5" fillId="3" borderId="0" applyAlignment="1" pivotButton="0" quotePrefix="0" xfId="0">
      <alignment horizontal="center"/>
    </xf>
    <xf numFmtId="0" fontId="0" fillId="0" borderId="7" pivotButton="0" quotePrefix="0" xfId="0"/>
    <xf numFmtId="0" fontId="0" fillId="0" borderId="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5" borderId="7" pivotButton="0" quotePrefix="0" xfId="0"/>
    <xf numFmtId="0" fontId="0" fillId="5" borderId="9" applyAlignment="1" pivotButton="0" quotePrefix="0" xfId="0">
      <alignment horizontal="center"/>
    </xf>
    <xf numFmtId="0" fontId="0" fillId="5" borderId="14" applyAlignment="1" pivotButton="0" quotePrefix="0" xfId="0">
      <alignment horizontal="center"/>
    </xf>
    <xf numFmtId="167" fontId="6" fillId="5" borderId="9" applyAlignment="1" pivotButton="0" quotePrefix="0" xfId="0">
      <alignment horizontal="center"/>
    </xf>
    <xf numFmtId="0" fontId="7" fillId="3" borderId="15" applyAlignment="1" pivotButton="0" quotePrefix="0" xfId="0">
      <alignment horizontal="center"/>
    </xf>
    <xf numFmtId="0" fontId="7" fillId="3" borderId="17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4" fillId="4" borderId="20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9" pivotButton="0" quotePrefix="0" xfId="0"/>
    <xf numFmtId="0" fontId="8" fillId="4" borderId="2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Assets by Equipment Type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'Dashboard'!G5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'Dashboard'!$F$6:$F$16</f>
            </numRef>
          </cat>
          <val>
            <numRef>
              <f>'Dashboard'!$G$6:$G$16</f>
            </numRef>
          </val>
        </ser>
        <ser>
          <idx val="1"/>
          <order val="1"/>
          <tx>
            <strRef>
              <f>'Dashboard'!H5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'Dashboard'!$F$6:$F$16</f>
            </numRef>
          </cat>
          <val>
            <numRef>
              <f>'Dashboard'!$H$6:$H$16</f>
            </numRef>
          </val>
        </ser>
        <dLbls>
          <showVal val="0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/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Count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/>
            </a:r>
          </a:p>
        </txPr>
        <crossAx val="10"/>
      </valAx>
    </plotArea>
    <legend>
      <legendPos val="r"/>
      <overlay val="0"/>
      <txPr>
        <a:bodyPr xmlns:a="http://schemas.openxmlformats.org/drawingml/2006/main"/>
        <a:p xmlns:a="http://schemas.openxmlformats.org/drawingml/2006/main">
          <a:pPr>
            <a:defRPr sz="1000" b="0"/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Asset Status Distribution</a:t>
            </a:r>
          </a:p>
        </rich>
      </tx>
      <overlay val="0"/>
    </title>
    <plotArea>
      <pieChart>
        <varyColors val="1"/>
        <ser>
          <idx val="0"/>
          <order val="0"/>
          <tx>
            <strRef>
              <f>'Dashboard'!G20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'Dashboard'!$F$21:$F$29</f>
            </numRef>
          </cat>
          <val>
            <numRef>
              <f>'Dashboard'!$G$21:$G$29</f>
            </numRef>
          </val>
        </ser>
        <dLbls>
          <showVal val="0"/>
          <showCatName val="0"/>
          <showSerName val="0"/>
        </dLbls>
        <firstSliceAng val="0"/>
      </pieChart>
    </plotArea>
    <legend>
      <legendPos val="r"/>
      <overlay val="0"/>
      <txPr>
        <a:bodyPr xmlns:a="http://schemas.openxmlformats.org/drawingml/2006/main"/>
        <a:p xmlns:a="http://schemas.openxmlformats.org/drawingml/2006/main">
          <a:pPr>
            <a:defRPr sz="1000" b="0"/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29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8" customWidth="1" min="4" max="4"/>
    <col width="3" customWidth="1" min="5" max="5"/>
    <col width="18" customWidth="1" min="6" max="6"/>
    <col width="10" customWidth="1" min="7" max="7"/>
    <col width="10" customWidth="1" min="8" max="8"/>
    <col width="14" customWidth="1" min="9" max="9"/>
    <col width="14" customWidth="1" min="10" max="10"/>
    <col width="13" customWidth="1" min="11" max="11"/>
    <col width="13" customWidth="1" min="12" max="12"/>
  </cols>
  <sheetData>
    <row r="1" ht="40" customHeight="1">
      <c r="A1" s="10" t="inlineStr">
        <is>
          <t>Equipment &amp; IT Asset Tracker — Government Contract Remote Surge Hiring</t>
        </is>
      </c>
    </row>
    <row r="2" ht="24" customHeight="1">
      <c r="A2" s="11" t="inlineStr">
        <is>
          <t>Dashboard Overview — Updated 04/20/2026 6:49 PM CDT</t>
        </is>
      </c>
    </row>
    <row r="3"/>
    <row r="4">
      <c r="A4" s="49" t="inlineStr">
        <is>
          <t>ASSET SUMMARY</t>
        </is>
      </c>
      <c r="B4" s="50" t="n"/>
      <c r="C4" s="50" t="n"/>
      <c r="D4" s="51" t="n"/>
      <c r="F4" s="49" t="inlineStr">
        <is>
          <t>BREAKDOWN BY EQUIPMENT TYPE</t>
        </is>
      </c>
      <c r="G4" s="50" t="n"/>
      <c r="H4" s="50" t="n"/>
      <c r="I4" s="51" t="n"/>
    </row>
    <row r="5">
      <c r="A5" s="15" t="inlineStr">
        <is>
          <t>Total Assets</t>
        </is>
      </c>
      <c r="B5" s="52" t="n"/>
      <c r="C5" s="52" t="n"/>
      <c r="D5" s="17">
        <f>COUNTA('Asset Inventory'!A2:A26)</f>
        <v/>
      </c>
      <c r="F5" s="18" t="inlineStr">
        <is>
          <t>Equipment Type</t>
        </is>
      </c>
      <c r="G5" s="19" t="inlineStr">
        <is>
          <t>Count</t>
        </is>
      </c>
      <c r="H5" s="19" t="inlineStr">
        <is>
          <t>Deployed</t>
        </is>
      </c>
      <c r="I5" s="20" t="inlineStr">
        <is>
          <t>Value</t>
        </is>
      </c>
    </row>
    <row r="6">
      <c r="A6" s="21" t="inlineStr">
        <is>
          <t>Assets Deployed</t>
        </is>
      </c>
      <c r="B6" s="52" t="n"/>
      <c r="C6" s="52" t="n"/>
      <c r="D6" s="23">
        <f>COUNTIF('Asset Inventory'!L2:L26,"Deployed")</f>
        <v/>
      </c>
      <c r="F6" s="24" t="inlineStr">
        <is>
          <t>Laptop</t>
        </is>
      </c>
      <c r="G6" s="25">
        <f>COUNTIF('Asset Inventory'!C2:C26,F6)</f>
        <v/>
      </c>
      <c r="H6" s="25">
        <f>COUNTIFS('Asset Inventory'!C2:C26,F6,'Asset Inventory'!L2:L26,"Deployed")</f>
        <v/>
      </c>
      <c r="I6" s="26">
        <f>SUMIF('Asset Inventory'!C2:C26,F6,'Asset Inventory'!G2:G26)</f>
        <v/>
      </c>
    </row>
    <row r="7">
      <c r="A7" s="15" t="inlineStr">
        <is>
          <t>Assets In Transit</t>
        </is>
      </c>
      <c r="B7" s="52" t="n"/>
      <c r="C7" s="52" t="n"/>
      <c r="D7" s="17">
        <f>COUNTIF('Asset Inventory'!L2:L26,"Shipped")</f>
        <v/>
      </c>
      <c r="F7" s="27" t="inlineStr">
        <is>
          <t>Monitor</t>
        </is>
      </c>
      <c r="G7" s="28">
        <f>COUNTIF('Asset Inventory'!C2:C26,F7)</f>
        <v/>
      </c>
      <c r="H7" s="28">
        <f>COUNTIFS('Asset Inventory'!C2:C26,F7,'Asset Inventory'!L2:L26,"Deployed")</f>
        <v/>
      </c>
      <c r="I7" s="29">
        <f>SUMIF('Asset Inventory'!C2:C26,F7,'Asset Inventory'!G2:G26)</f>
        <v/>
      </c>
    </row>
    <row r="8">
      <c r="A8" s="21" t="inlineStr">
        <is>
          <t>Assets In Stock</t>
        </is>
      </c>
      <c r="B8" s="52" t="n"/>
      <c r="C8" s="52" t="n"/>
      <c r="D8" s="23">
        <f>COUNTIF('Asset Inventory'!L2:L26,"In Stock")</f>
        <v/>
      </c>
      <c r="F8" s="24" t="inlineStr">
        <is>
          <t>Headset</t>
        </is>
      </c>
      <c r="G8" s="25">
        <f>COUNTIF('Asset Inventory'!C2:C26,F8)</f>
        <v/>
      </c>
      <c r="H8" s="25">
        <f>COUNTIFS('Asset Inventory'!C2:C26,F8,'Asset Inventory'!L2:L26,"Deployed")</f>
        <v/>
      </c>
      <c r="I8" s="26">
        <f>SUMIF('Asset Inventory'!C2:C26,F8,'Asset Inventory'!G2:G26)</f>
        <v/>
      </c>
    </row>
    <row r="9">
      <c r="A9" s="15" t="inlineStr">
        <is>
          <t>Assets Configured</t>
        </is>
      </c>
      <c r="B9" s="52" t="n"/>
      <c r="C9" s="52" t="n"/>
      <c r="D9" s="17">
        <f>COUNTIF('Asset Inventory'!L2:L26,"Configured")</f>
        <v/>
      </c>
      <c r="F9" s="27" t="inlineStr">
        <is>
          <t>CAC Reader</t>
        </is>
      </c>
      <c r="G9" s="28">
        <f>COUNTIF('Asset Inventory'!C2:C26,F9)</f>
        <v/>
      </c>
      <c r="H9" s="28">
        <f>COUNTIFS('Asset Inventory'!C2:C26,F9,'Asset Inventory'!L2:L26,"Deployed")</f>
        <v/>
      </c>
      <c r="I9" s="29">
        <f>SUMIF('Asset Inventory'!C2:C26,F9,'Asset Inventory'!G2:G26)</f>
        <v/>
      </c>
    </row>
    <row r="10">
      <c r="A10" s="21" t="inlineStr">
        <is>
          <t>Assets Pending Return</t>
        </is>
      </c>
      <c r="B10" s="52" t="n"/>
      <c r="C10" s="52" t="n"/>
      <c r="D10" s="23">
        <f>COUNTIF('Asset Inventory'!L2:L26,"Return Requested")</f>
        <v/>
      </c>
      <c r="F10" s="24" t="inlineStr">
        <is>
          <t>Keyboard/Mouse</t>
        </is>
      </c>
      <c r="G10" s="25">
        <f>COUNTIF('Asset Inventory'!C2:C26,F10)</f>
        <v/>
      </c>
      <c r="H10" s="25">
        <f>COUNTIFS('Asset Inventory'!C2:C26,F10,'Asset Inventory'!L2:L26,"Deployed")</f>
        <v/>
      </c>
      <c r="I10" s="26">
        <f>SUMIF('Asset Inventory'!C2:C26,F10,'Asset Inventory'!G2:G26)</f>
        <v/>
      </c>
    </row>
    <row r="11">
      <c r="A11" s="15" t="inlineStr">
        <is>
          <t>Assets Returned</t>
        </is>
      </c>
      <c r="B11" s="52" t="n"/>
      <c r="C11" s="52" t="n"/>
      <c r="D11" s="17">
        <f>COUNTIF('Asset Inventory'!L2:L26,"Returned")</f>
        <v/>
      </c>
      <c r="F11" s="27" t="inlineStr">
        <is>
          <t>Webcam</t>
        </is>
      </c>
      <c r="G11" s="28">
        <f>COUNTIF('Asset Inventory'!C2:C26,F11)</f>
        <v/>
      </c>
      <c r="H11" s="28">
        <f>COUNTIFS('Asset Inventory'!C2:C26,F11,'Asset Inventory'!L2:L26,"Deployed")</f>
        <v/>
      </c>
      <c r="I11" s="29">
        <f>SUMIF('Asset Inventory'!C2:C26,F11,'Asset Inventory'!G2:G26)</f>
        <v/>
      </c>
    </row>
    <row r="12">
      <c r="A12" s="21" t="inlineStr">
        <is>
          <t>Total Asset Value</t>
        </is>
      </c>
      <c r="B12" s="52" t="n"/>
      <c r="C12" s="52" t="n"/>
      <c r="D12" s="30">
        <f>SUM('Asset Inventory'!G2:G26)</f>
        <v/>
      </c>
      <c r="F12" s="24" t="inlineStr">
        <is>
          <t>Docking Station</t>
        </is>
      </c>
      <c r="G12" s="25">
        <f>COUNTIF('Asset Inventory'!C2:C26,F12)</f>
        <v/>
      </c>
      <c r="H12" s="25">
        <f>COUNTIFS('Asset Inventory'!C2:C26,F12,'Asset Inventory'!L2:L26,"Deployed")</f>
        <v/>
      </c>
      <c r="I12" s="26">
        <f>SUMIF('Asset Inventory'!C2:C26,F12,'Asset Inventory'!G2:G26)</f>
        <v/>
      </c>
    </row>
    <row r="13">
      <c r="A13" s="15" t="inlineStr">
        <is>
          <t>Monthly Shipping Cost (Est.)</t>
        </is>
      </c>
      <c r="B13" s="52" t="n"/>
      <c r="C13" s="52" t="n"/>
      <c r="D13" s="31">
        <f>COUNTIF('Asset Inventory'!L2:L26,"Shipped")*35</f>
        <v/>
      </c>
      <c r="F13" s="27" t="inlineStr">
        <is>
          <t>Mobile Phone</t>
        </is>
      </c>
      <c r="G13" s="28">
        <f>COUNTIF('Asset Inventory'!C2:C26,F13)</f>
        <v/>
      </c>
      <c r="H13" s="28">
        <f>COUNTIFS('Asset Inventory'!C2:C26,F13,'Asset Inventory'!L2:L26,"Deployed")</f>
        <v/>
      </c>
      <c r="I13" s="29">
        <f>SUMIF('Asset Inventory'!C2:C26,F13,'Asset Inventory'!G2:G26)</f>
        <v/>
      </c>
    </row>
    <row r="14">
      <c r="F14" s="24" t="inlineStr">
        <is>
          <t>Printer</t>
        </is>
      </c>
      <c r="G14" s="25">
        <f>COUNTIF('Asset Inventory'!C2:C26,F14)</f>
        <v/>
      </c>
      <c r="H14" s="25">
        <f>COUNTIFS('Asset Inventory'!C2:C26,F14,'Asset Inventory'!L2:L26,"Deployed")</f>
        <v/>
      </c>
      <c r="I14" s="26">
        <f>SUMIF('Asset Inventory'!C2:C26,F14,'Asset Inventory'!G2:G26)</f>
        <v/>
      </c>
    </row>
    <row r="15">
      <c r="F15" s="27" t="inlineStr">
        <is>
          <t>Software License</t>
        </is>
      </c>
      <c r="G15" s="28">
        <f>COUNTIF('Asset Inventory'!C2:C26,F15)</f>
        <v/>
      </c>
      <c r="H15" s="28">
        <f>COUNTIFS('Asset Inventory'!C2:C26,F15,'Asset Inventory'!L2:L26,"Deployed")</f>
        <v/>
      </c>
      <c r="I15" s="29">
        <f>SUMIF('Asset Inventory'!C2:C26,F15,'Asset Inventory'!G2:G26)</f>
        <v/>
      </c>
    </row>
    <row r="16">
      <c r="A16" s="49" t="inlineStr">
        <is>
          <t>FULFILLMENT &amp; READINESS</t>
        </is>
      </c>
      <c r="B16" s="50" t="n"/>
      <c r="C16" s="50" t="n"/>
      <c r="D16" s="51" t="n"/>
      <c r="F16" s="24" t="inlineStr">
        <is>
          <t>Other</t>
        </is>
      </c>
      <c r="G16" s="25">
        <f>COUNTIF('Asset Inventory'!C2:C26,F16)</f>
        <v/>
      </c>
      <c r="H16" s="25">
        <f>COUNTIFS('Asset Inventory'!C2:C26,F16,'Asset Inventory'!L2:L26,"Deployed")</f>
        <v/>
      </c>
      <c r="I16" s="26">
        <f>SUMIF('Asset Inventory'!C2:C26,F16,'Asset Inventory'!G2:G26)</f>
        <v/>
      </c>
    </row>
    <row r="17">
      <c r="A17" s="15" t="inlineStr">
        <is>
          <t>Equipment Fulfillment Rate</t>
        </is>
      </c>
      <c r="B17" s="52" t="n"/>
      <c r="C17" s="52" t="n"/>
      <c r="D17" s="32">
        <f>IF(COUNTA('Deployment Tracker'!A2:A21)=0,0,COUNTIF('Deployment Tracker'!K2:K21,"Verified")/COUNTA('Deployment Tracker'!A2:A21))</f>
        <v/>
      </c>
      <c r="F17" s="33" t="inlineStr">
        <is>
          <t>Total</t>
        </is>
      </c>
      <c r="G17" s="34">
        <f>SUM(G6:G16)</f>
        <v/>
      </c>
      <c r="H17" s="34">
        <f>SUM(H6:H16)</f>
        <v/>
      </c>
      <c r="I17" s="35">
        <f>SUM(I6:I16)</f>
        <v/>
      </c>
    </row>
    <row r="18">
      <c r="A18" s="21" t="inlineStr">
        <is>
          <t>Fulfillment Status</t>
        </is>
      </c>
      <c r="B18" s="52" t="n"/>
      <c r="C18" s="52" t="n"/>
      <c r="D18" s="36">
        <f>IF(D17&gt;=0.9,"● On Track",IF(D17&gt;=0.7,"● Warning","● Critical"))</f>
        <v/>
      </c>
    </row>
    <row r="19">
      <c r="A19" s="15" t="inlineStr">
        <is>
          <t>Workspace Approval Rate</t>
        </is>
      </c>
      <c r="B19" s="52" t="n"/>
      <c r="C19" s="52" t="n"/>
      <c r="D19" s="32">
        <f>IF(COUNTA('Remote Workspace Checklist'!A2:A21)=0,0,COUNTIF('Remote Workspace Checklist'!N2:N21,"Approved")/COUNTA('Remote Workspace Checklist'!A2:A21))</f>
        <v/>
      </c>
      <c r="F19" s="49" t="inlineStr">
        <is>
          <t>STATUS DISTRIBUTION</t>
        </is>
      </c>
      <c r="G19" s="50" t="n"/>
      <c r="H19" s="51" t="n"/>
      <c r="J19" s="53" t="inlineStr">
        <is>
          <t>OPEN ALERTS SUMMARY</t>
        </is>
      </c>
      <c r="K19" s="50" t="n"/>
      <c r="L19" s="51" t="n"/>
    </row>
    <row r="20">
      <c r="A20" s="21" t="inlineStr">
        <is>
          <t>Workspace Status</t>
        </is>
      </c>
      <c r="B20" s="52" t="n"/>
      <c r="C20" s="52" t="n"/>
      <c r="D20" s="36">
        <f>IF(D19&gt;=0.8,"● On Track",IF(D19&gt;=0.5,"● Warning","● Critical"))</f>
        <v/>
      </c>
      <c r="F20" s="38" t="inlineStr">
        <is>
          <t>Status</t>
        </is>
      </c>
      <c r="G20" s="38" t="inlineStr">
        <is>
          <t>Count</t>
        </is>
      </c>
      <c r="J20" s="18" t="inlineStr">
        <is>
          <t>Priority</t>
        </is>
      </c>
      <c r="K20" s="19" t="inlineStr">
        <is>
          <t>Open</t>
        </is>
      </c>
      <c r="L20" s="20" t="inlineStr">
        <is>
          <t>In Progress</t>
        </is>
      </c>
    </row>
    <row r="21">
      <c r="F21" s="39" t="inlineStr">
        <is>
          <t>In Stock</t>
        </is>
      </c>
      <c r="G21" s="40">
        <f>COUNTIF('Asset Inventory'!L2:L26,F21)</f>
        <v/>
      </c>
      <c r="J21" s="27" t="inlineStr">
        <is>
          <t>High</t>
        </is>
      </c>
      <c r="K21" s="28">
        <f>COUNTIFS(Alerts!B2:B13,J21,Alerts!F2:F13,"Open")</f>
        <v/>
      </c>
      <c r="L21" s="41">
        <f>COUNTIFS(Alerts!B2:B13,J21,Alerts!F2:F13,"In Progress")</f>
        <v/>
      </c>
    </row>
    <row r="22">
      <c r="F22" s="42" t="inlineStr">
        <is>
          <t>Configured</t>
        </is>
      </c>
      <c r="G22" s="43">
        <f>COUNTIF('Asset Inventory'!L2:L26,F22)</f>
        <v/>
      </c>
      <c r="J22" s="24" t="inlineStr">
        <is>
          <t>Medium</t>
        </is>
      </c>
      <c r="K22" s="25">
        <f>COUNTIFS(Alerts!B2:B13,J22,Alerts!F2:F13,"Open")</f>
        <v/>
      </c>
      <c r="L22" s="44">
        <f>COUNTIFS(Alerts!B2:B13,J22,Alerts!F2:F13,"In Progress")</f>
        <v/>
      </c>
    </row>
    <row r="23">
      <c r="A23" s="49" t="inlineStr">
        <is>
          <t>SHIPPING &amp; RETURNS PERFORMANCE</t>
        </is>
      </c>
      <c r="B23" s="50" t="n"/>
      <c r="C23" s="50" t="n"/>
      <c r="D23" s="51" t="n"/>
      <c r="F23" s="39" t="inlineStr">
        <is>
          <t>Shipped</t>
        </is>
      </c>
      <c r="G23" s="40">
        <f>COUNTIF('Asset Inventory'!L2:L26,F23)</f>
        <v/>
      </c>
      <c r="J23" s="27" t="inlineStr">
        <is>
          <t>Low</t>
        </is>
      </c>
      <c r="K23" s="28">
        <f>COUNTIFS(Alerts!B2:B13,J23,Alerts!F2:F13,"Open")</f>
        <v/>
      </c>
      <c r="L23" s="41">
        <f>COUNTIFS(Alerts!B2:B13,J23,Alerts!F2:F13,"In Progress")</f>
        <v/>
      </c>
    </row>
    <row r="24">
      <c r="A24" s="21" t="inlineStr">
        <is>
          <t>Avg Days: Order to Delivery</t>
        </is>
      </c>
      <c r="B24" s="52" t="n"/>
      <c r="C24" s="52" t="n"/>
      <c r="D24" s="45">
        <f>IFERROR(AVERAGEIF('Procurement Tracker'!R2:R16,"&lt;&gt;",'Procurement Tracker'!R2:R16),0)</f>
        <v/>
      </c>
      <c r="F24" s="42" t="inlineStr">
        <is>
          <t>Deployed</t>
        </is>
      </c>
      <c r="G24" s="43">
        <f>COUNTIF('Asset Inventory'!L2:L26,F24)</f>
        <v/>
      </c>
      <c r="J24" s="46" t="inlineStr">
        <is>
          <t>Total</t>
        </is>
      </c>
      <c r="K24" s="34">
        <f>SUM(K21:K23)</f>
        <v/>
      </c>
      <c r="L24" s="47">
        <f>SUM(L21:L23)</f>
        <v/>
      </c>
    </row>
    <row r="25">
      <c r="A25" s="15" t="inlineStr">
        <is>
          <t>Overdue Returns Count</t>
        </is>
      </c>
      <c r="B25" s="52" t="n"/>
      <c r="C25" s="52" t="n"/>
      <c r="D25" s="17">
        <f>COUNTIF('Return Tracker'!R2:R9,"&gt;"&amp;0)</f>
        <v/>
      </c>
      <c r="F25" s="39" t="inlineStr">
        <is>
          <t>Return Requested</t>
        </is>
      </c>
      <c r="G25" s="40">
        <f>COUNTIF('Asset Inventory'!L2:L26,F25)</f>
        <v/>
      </c>
    </row>
    <row r="26">
      <c r="A26" s="21" t="inlineStr">
        <is>
          <t>Overdue Return Liability</t>
        </is>
      </c>
      <c r="B26" s="52" t="n"/>
      <c r="C26" s="52" t="n"/>
      <c r="D26" s="30">
        <f>SUMIF('Return Tracker'!Q2:Q9,"Escalated",'Return Tracker'!P2:P9)</f>
        <v/>
      </c>
      <c r="F26" s="42" t="inlineStr">
        <is>
          <t>Returned</t>
        </is>
      </c>
      <c r="G26" s="43">
        <f>COUNTIF('Asset Inventory'!L2:L26,F26)</f>
        <v/>
      </c>
    </row>
    <row r="27">
      <c r="A27" s="15" t="inlineStr">
        <is>
          <t>Returns Compliance</t>
        </is>
      </c>
      <c r="B27" s="52" t="n"/>
      <c r="C27" s="52" t="n"/>
      <c r="D27" s="48">
        <f>IF(D25=0,"● Compliant",IF(D25&lt;=2,"● Warning","● Non-Compliant"))</f>
        <v/>
      </c>
      <c r="F27" s="39" t="inlineStr">
        <is>
          <t>Lost</t>
        </is>
      </c>
      <c r="G27" s="40">
        <f>COUNTIF('Asset Inventory'!L2:L26,F27)</f>
        <v/>
      </c>
    </row>
    <row r="28">
      <c r="F28" s="42" t="inlineStr">
        <is>
          <t>Damaged</t>
        </is>
      </c>
      <c r="G28" s="43">
        <f>COUNTIF('Asset Inventory'!L2:L26,F28)</f>
        <v/>
      </c>
    </row>
    <row r="29">
      <c r="F29" s="39" t="inlineStr">
        <is>
          <t>Disposed</t>
        </is>
      </c>
      <c r="G29" s="40">
        <f>COUNTIF('Asset Inventory'!L2:L26,F29)</f>
        <v/>
      </c>
    </row>
  </sheetData>
  <mergeCells count="25">
    <mergeCell ref="A25:C25"/>
    <mergeCell ref="A23:D23"/>
    <mergeCell ref="A4:D4"/>
    <mergeCell ref="A18:C18"/>
    <mergeCell ref="A27:C27"/>
    <mergeCell ref="A12:C12"/>
    <mergeCell ref="A26:C26"/>
    <mergeCell ref="A2:L2"/>
    <mergeCell ref="A5:C5"/>
    <mergeCell ref="A8:C8"/>
    <mergeCell ref="F4:I4"/>
    <mergeCell ref="A17:C17"/>
    <mergeCell ref="A20:C20"/>
    <mergeCell ref="A10:C10"/>
    <mergeCell ref="A13:C13"/>
    <mergeCell ref="A19:C19"/>
    <mergeCell ref="A9:C9"/>
    <mergeCell ref="A16:D16"/>
    <mergeCell ref="A24:C24"/>
    <mergeCell ref="A11:C11"/>
    <mergeCell ref="F19:H19"/>
    <mergeCell ref="J19:L19"/>
    <mergeCell ref="A1:L1"/>
    <mergeCell ref="A6:C6"/>
    <mergeCell ref="A7:C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4" customWidth="1" min="4" max="4"/>
    <col width="18" customWidth="1" min="5" max="5"/>
    <col width="13" customWidth="1" min="6" max="6"/>
    <col width="13" customWidth="1" min="7" max="7"/>
    <col width="18" customWidth="1" min="8" max="8"/>
    <col width="14" customWidth="1" min="9" max="9"/>
    <col width="16" customWidth="1" min="10" max="10"/>
    <col width="11" customWidth="1" min="11" max="11"/>
    <col width="16" customWidth="1" min="12" max="12"/>
    <col width="18" customWidth="1" min="13" max="13"/>
    <col width="14" customWidth="1" min="14" max="14"/>
    <col width="15" customWidth="1" min="15" max="15"/>
    <col width="24" customWidth="1" min="16" max="16"/>
  </cols>
  <sheetData>
    <row r="1" ht="30" customHeight="1">
      <c r="A1" s="1" t="inlineStr">
        <is>
          <t>Asset ID</t>
        </is>
      </c>
      <c r="B1" s="1" t="inlineStr">
        <is>
          <t>Asset Tag</t>
        </is>
      </c>
      <c r="C1" s="1" t="inlineStr">
        <is>
          <t>Equipment Type</t>
        </is>
      </c>
      <c r="D1" s="1" t="inlineStr">
        <is>
          <t>Make/Model</t>
        </is>
      </c>
      <c r="E1" s="1" t="inlineStr">
        <is>
          <t>Serial Number</t>
        </is>
      </c>
      <c r="F1" s="1" t="inlineStr">
        <is>
          <t>Purchase Date</t>
        </is>
      </c>
      <c r="G1" s="1" t="inlineStr">
        <is>
          <t>Purchase Cost</t>
        </is>
      </c>
      <c r="H1" s="1" t="inlineStr">
        <is>
          <t>Vendor</t>
        </is>
      </c>
      <c r="I1" s="1" t="inlineStr">
        <is>
          <t>PO Number</t>
        </is>
      </c>
      <c r="J1" s="1" t="inlineStr">
        <is>
          <t>Warranty Expiration</t>
        </is>
      </c>
      <c r="K1" s="1" t="inlineStr">
        <is>
          <t>Condition</t>
        </is>
      </c>
      <c r="L1" s="1" t="inlineStr">
        <is>
          <t>Current Status</t>
        </is>
      </c>
      <c r="M1" s="1" t="inlineStr">
        <is>
          <t>Assigned To</t>
        </is>
      </c>
      <c r="N1" s="1" t="inlineStr">
        <is>
          <t>Assignment Date</t>
        </is>
      </c>
      <c r="O1" s="1" t="inlineStr">
        <is>
          <t>Location</t>
        </is>
      </c>
      <c r="P1" s="1" t="inlineStr">
        <is>
          <t>Notes</t>
        </is>
      </c>
    </row>
    <row r="2">
      <c r="A2" s="2" t="inlineStr">
        <is>
          <t>AST-001</t>
        </is>
      </c>
      <c r="B2" s="2" t="inlineStr">
        <is>
          <t>LPT-001</t>
        </is>
      </c>
      <c r="C2" s="2" t="inlineStr">
        <is>
          <t>Laptop</t>
        </is>
      </c>
      <c r="D2" s="2" t="inlineStr">
        <is>
          <t>Dell Latitude 5540</t>
        </is>
      </c>
      <c r="E2" s="2" t="inlineStr">
        <is>
          <t>DL5540-A1B2C3</t>
        </is>
      </c>
      <c r="F2" s="8" t="n">
        <v>46032</v>
      </c>
      <c r="G2" s="4" t="n">
        <v>1249.99</v>
      </c>
      <c r="H2" s="2" t="inlineStr">
        <is>
          <t>Dell Technologies</t>
        </is>
      </c>
      <c r="I2" s="2" t="inlineStr">
        <is>
          <t>PO-2026-001</t>
        </is>
      </c>
      <c r="J2" s="8" t="n">
        <v>47128</v>
      </c>
      <c r="K2" s="2" t="inlineStr">
        <is>
          <t>New</t>
        </is>
      </c>
      <c r="L2" s="2" t="inlineStr">
        <is>
          <t>Deployed</t>
        </is>
      </c>
      <c r="M2" s="2" t="inlineStr">
        <is>
          <t>Maria Santos</t>
        </is>
      </c>
      <c r="N2" s="8" t="n">
        <v>46068</v>
      </c>
      <c r="O2" s="2" t="inlineStr">
        <is>
          <t>Employee Home</t>
        </is>
      </c>
      <c r="P2" s="2" t="inlineStr"/>
    </row>
    <row r="3">
      <c r="A3" s="5" t="inlineStr">
        <is>
          <t>AST-002</t>
        </is>
      </c>
      <c r="B3" s="5" t="inlineStr">
        <is>
          <t>LPT-002</t>
        </is>
      </c>
      <c r="C3" s="5" t="inlineStr">
        <is>
          <t>Laptop</t>
        </is>
      </c>
      <c r="D3" s="5" t="inlineStr">
        <is>
          <t>Dell Latitude 5540</t>
        </is>
      </c>
      <c r="E3" s="5" t="inlineStr">
        <is>
          <t>DL5540-D4E5F6</t>
        </is>
      </c>
      <c r="F3" s="9" t="n">
        <v>46032</v>
      </c>
      <c r="G3" s="7" t="n">
        <v>1249.99</v>
      </c>
      <c r="H3" s="5" t="inlineStr">
        <is>
          <t>Dell Technologies</t>
        </is>
      </c>
      <c r="I3" s="5" t="inlineStr">
        <is>
          <t>PO-2026-001</t>
        </is>
      </c>
      <c r="J3" s="9" t="n">
        <v>47128</v>
      </c>
      <c r="K3" s="5" t="inlineStr">
        <is>
          <t>New</t>
        </is>
      </c>
      <c r="L3" s="5" t="inlineStr">
        <is>
          <t>Deployed</t>
        </is>
      </c>
      <c r="M3" s="5" t="inlineStr">
        <is>
          <t>James Carter</t>
        </is>
      </c>
      <c r="N3" s="9" t="n">
        <v>46069</v>
      </c>
      <c r="O3" s="5" t="inlineStr">
        <is>
          <t>Employee Home</t>
        </is>
      </c>
      <c r="P3" s="5" t="inlineStr"/>
    </row>
    <row r="4">
      <c r="A4" s="2" t="inlineStr">
        <is>
          <t>AST-003</t>
        </is>
      </c>
      <c r="B4" s="2" t="inlineStr">
        <is>
          <t>LPT-003</t>
        </is>
      </c>
      <c r="C4" s="2" t="inlineStr">
        <is>
          <t>Laptop</t>
        </is>
      </c>
      <c r="D4" s="2" t="inlineStr">
        <is>
          <t>Dell Latitude 5540</t>
        </is>
      </c>
      <c r="E4" s="2" t="inlineStr">
        <is>
          <t>DL5540-G7H8I9</t>
        </is>
      </c>
      <c r="F4" s="8" t="n">
        <v>46032</v>
      </c>
      <c r="G4" s="4" t="n">
        <v>1249.99</v>
      </c>
      <c r="H4" s="2" t="inlineStr">
        <is>
          <t>Dell Technologies</t>
        </is>
      </c>
      <c r="I4" s="2" t="inlineStr">
        <is>
          <t>PO-2026-001</t>
        </is>
      </c>
      <c r="J4" s="8" t="n">
        <v>47128</v>
      </c>
      <c r="K4" s="2" t="inlineStr">
        <is>
          <t>New</t>
        </is>
      </c>
      <c r="L4" s="2" t="inlineStr">
        <is>
          <t>Shipped</t>
        </is>
      </c>
      <c r="M4" s="2" t="inlineStr"/>
      <c r="N4" s="8" t="n"/>
      <c r="O4" s="2" t="inlineStr">
        <is>
          <t>In Transit</t>
        </is>
      </c>
      <c r="P4" s="2" t="inlineStr">
        <is>
          <t>Shipping to new hire</t>
        </is>
      </c>
    </row>
    <row r="5">
      <c r="A5" s="5" t="inlineStr">
        <is>
          <t>AST-004</t>
        </is>
      </c>
      <c r="B5" s="5" t="inlineStr">
        <is>
          <t>LPT-004</t>
        </is>
      </c>
      <c r="C5" s="5" t="inlineStr">
        <is>
          <t>Laptop</t>
        </is>
      </c>
      <c r="D5" s="5" t="inlineStr">
        <is>
          <t>HP EliteBook 840 G9</t>
        </is>
      </c>
      <c r="E5" s="5" t="inlineStr">
        <is>
          <t>HPE840-J1K2L3</t>
        </is>
      </c>
      <c r="F5" s="9" t="n">
        <v>45966</v>
      </c>
      <c r="G5" s="7" t="n">
        <v>1189</v>
      </c>
      <c r="H5" s="5" t="inlineStr">
        <is>
          <t>HP Inc.</t>
        </is>
      </c>
      <c r="I5" s="5" t="inlineStr">
        <is>
          <t>PO-2025-042</t>
        </is>
      </c>
      <c r="J5" s="9" t="n">
        <v>47062</v>
      </c>
      <c r="K5" s="5" t="inlineStr">
        <is>
          <t>Good</t>
        </is>
      </c>
      <c r="L5" s="5" t="inlineStr">
        <is>
          <t>Deployed</t>
        </is>
      </c>
      <c r="M5" s="5" t="inlineStr">
        <is>
          <t>Aisha Johnson</t>
        </is>
      </c>
      <c r="N5" s="9" t="n">
        <v>46042</v>
      </c>
      <c r="O5" s="5" t="inlineStr">
        <is>
          <t>Employee Home</t>
        </is>
      </c>
      <c r="P5" s="5" t="inlineStr"/>
    </row>
    <row r="6">
      <c r="A6" s="2" t="inlineStr">
        <is>
          <t>AST-005</t>
        </is>
      </c>
      <c r="B6" s="2" t="inlineStr">
        <is>
          <t>LPT-005</t>
        </is>
      </c>
      <c r="C6" s="2" t="inlineStr">
        <is>
          <t>Laptop</t>
        </is>
      </c>
      <c r="D6" s="2" t="inlineStr">
        <is>
          <t>HP EliteBook 840 G9</t>
        </is>
      </c>
      <c r="E6" s="2" t="inlineStr">
        <is>
          <t>HPE840-M4N5O6</t>
        </is>
      </c>
      <c r="F6" s="8" t="n">
        <v>45966</v>
      </c>
      <c r="G6" s="4" t="n">
        <v>1189</v>
      </c>
      <c r="H6" s="2" t="inlineStr">
        <is>
          <t>HP Inc.</t>
        </is>
      </c>
      <c r="I6" s="2" t="inlineStr">
        <is>
          <t>PO-2025-042</t>
        </is>
      </c>
      <c r="J6" s="8" t="n">
        <v>47062</v>
      </c>
      <c r="K6" s="2" t="inlineStr">
        <is>
          <t>Good</t>
        </is>
      </c>
      <c r="L6" s="2" t="inlineStr">
        <is>
          <t>Return Requested</t>
        </is>
      </c>
      <c r="M6" s="2" t="inlineStr">
        <is>
          <t>David Kim</t>
        </is>
      </c>
      <c r="N6" s="8" t="n">
        <v>46044</v>
      </c>
      <c r="O6" s="2" t="inlineStr">
        <is>
          <t>Employee Home</t>
        </is>
      </c>
      <c r="P6" s="2" t="inlineStr">
        <is>
          <t>Separation 4/30</t>
        </is>
      </c>
    </row>
    <row r="7">
      <c r="A7" s="5" t="inlineStr">
        <is>
          <t>AST-006</t>
        </is>
      </c>
      <c r="B7" s="5" t="inlineStr">
        <is>
          <t>MON-001</t>
        </is>
      </c>
      <c r="C7" s="5" t="inlineStr">
        <is>
          <t>Monitor</t>
        </is>
      </c>
      <c r="D7" s="5" t="inlineStr">
        <is>
          <t>Dell U2723QE 27"</t>
        </is>
      </c>
      <c r="E7" s="5" t="inlineStr">
        <is>
          <t>DLM27-P7Q8R9</t>
        </is>
      </c>
      <c r="F7" s="9" t="n">
        <v>46037</v>
      </c>
      <c r="G7" s="7" t="n">
        <v>489.99</v>
      </c>
      <c r="H7" s="5" t="inlineStr">
        <is>
          <t>Dell Technologies</t>
        </is>
      </c>
      <c r="I7" s="5" t="inlineStr">
        <is>
          <t>PO-2026-002</t>
        </is>
      </c>
      <c r="J7" s="9" t="n">
        <v>47133</v>
      </c>
      <c r="K7" s="5" t="inlineStr">
        <is>
          <t>New</t>
        </is>
      </c>
      <c r="L7" s="5" t="inlineStr">
        <is>
          <t>Deployed</t>
        </is>
      </c>
      <c r="M7" s="5" t="inlineStr">
        <is>
          <t>Maria Santos</t>
        </is>
      </c>
      <c r="N7" s="9" t="n">
        <v>46068</v>
      </c>
      <c r="O7" s="5" t="inlineStr">
        <is>
          <t>Employee Home</t>
        </is>
      </c>
      <c r="P7" s="5" t="inlineStr"/>
    </row>
    <row r="8">
      <c r="A8" s="2" t="inlineStr">
        <is>
          <t>AST-007</t>
        </is>
      </c>
      <c r="B8" s="2" t="inlineStr">
        <is>
          <t>MON-002</t>
        </is>
      </c>
      <c r="C8" s="2" t="inlineStr">
        <is>
          <t>Monitor</t>
        </is>
      </c>
      <c r="D8" s="2" t="inlineStr">
        <is>
          <t>Dell U2723QE 27"</t>
        </is>
      </c>
      <c r="E8" s="2" t="inlineStr">
        <is>
          <t>DLM27-S1T2U3</t>
        </is>
      </c>
      <c r="F8" s="8" t="n">
        <v>46037</v>
      </c>
      <c r="G8" s="4" t="n">
        <v>489.99</v>
      </c>
      <c r="H8" s="2" t="inlineStr">
        <is>
          <t>Dell Technologies</t>
        </is>
      </c>
      <c r="I8" s="2" t="inlineStr">
        <is>
          <t>PO-2026-002</t>
        </is>
      </c>
      <c r="J8" s="8" t="n">
        <v>47133</v>
      </c>
      <c r="K8" s="2" t="inlineStr">
        <is>
          <t>New</t>
        </is>
      </c>
      <c r="L8" s="2" t="inlineStr">
        <is>
          <t>Deployed</t>
        </is>
      </c>
      <c r="M8" s="2" t="inlineStr">
        <is>
          <t>James Carter</t>
        </is>
      </c>
      <c r="N8" s="8" t="n">
        <v>46069</v>
      </c>
      <c r="O8" s="2" t="inlineStr">
        <is>
          <t>Employee Home</t>
        </is>
      </c>
      <c r="P8" s="2" t="inlineStr"/>
    </row>
    <row r="9">
      <c r="A9" s="5" t="inlineStr">
        <is>
          <t>AST-008</t>
        </is>
      </c>
      <c r="B9" s="5" t="inlineStr">
        <is>
          <t>MON-003</t>
        </is>
      </c>
      <c r="C9" s="5" t="inlineStr">
        <is>
          <t>Monitor</t>
        </is>
      </c>
      <c r="D9" s="5" t="inlineStr">
        <is>
          <t>LG 27UK850-W</t>
        </is>
      </c>
      <c r="E9" s="5" t="inlineStr">
        <is>
          <t>LG27-V4W5X6</t>
        </is>
      </c>
      <c r="F9" s="9" t="n">
        <v>45889</v>
      </c>
      <c r="G9" s="7" t="n">
        <v>449</v>
      </c>
      <c r="H9" s="5" t="inlineStr">
        <is>
          <t>CDW</t>
        </is>
      </c>
      <c r="I9" s="5" t="inlineStr">
        <is>
          <t>PO-2025-030</t>
        </is>
      </c>
      <c r="J9" s="9" t="n">
        <v>46254</v>
      </c>
      <c r="K9" s="5" t="inlineStr">
        <is>
          <t>Good</t>
        </is>
      </c>
      <c r="L9" s="5" t="inlineStr">
        <is>
          <t>In Stock</t>
        </is>
      </c>
      <c r="M9" s="5" t="inlineStr"/>
      <c r="N9" s="9" t="n"/>
      <c r="O9" s="5" t="inlineStr">
        <is>
          <t>Warehouse</t>
        </is>
      </c>
      <c r="P9" s="5" t="inlineStr"/>
    </row>
    <row r="10">
      <c r="A10" s="2" t="inlineStr">
        <is>
          <t>AST-009</t>
        </is>
      </c>
      <c r="B10" s="2" t="inlineStr">
        <is>
          <t>MON-004</t>
        </is>
      </c>
      <c r="C10" s="2" t="inlineStr">
        <is>
          <t>Monitor</t>
        </is>
      </c>
      <c r="D10" s="2" t="inlineStr">
        <is>
          <t>LG 27UK850-W</t>
        </is>
      </c>
      <c r="E10" s="2" t="inlineStr">
        <is>
          <t>LG27-Y7Z8A1</t>
        </is>
      </c>
      <c r="F10" s="8" t="n">
        <v>45889</v>
      </c>
      <c r="G10" s="4" t="n">
        <v>449</v>
      </c>
      <c r="H10" s="2" t="inlineStr">
        <is>
          <t>CDW</t>
        </is>
      </c>
      <c r="I10" s="2" t="inlineStr">
        <is>
          <t>PO-2025-030</t>
        </is>
      </c>
      <c r="J10" s="8" t="n">
        <v>46162</v>
      </c>
      <c r="K10" s="2" t="inlineStr">
        <is>
          <t>Fair</t>
        </is>
      </c>
      <c r="L10" s="2" t="inlineStr">
        <is>
          <t>Returned</t>
        </is>
      </c>
      <c r="M10" s="2" t="inlineStr">
        <is>
          <t>Tom Reed</t>
        </is>
      </c>
      <c r="N10" s="8" t="n">
        <v>45931</v>
      </c>
      <c r="O10" s="2" t="inlineStr">
        <is>
          <t>Warehouse</t>
        </is>
      </c>
      <c r="P10" s="2" t="inlineStr">
        <is>
          <t>Minor scratch on bezel</t>
        </is>
      </c>
    </row>
    <row r="11">
      <c r="A11" s="5" t="inlineStr">
        <is>
          <t>AST-010</t>
        </is>
      </c>
      <c r="B11" s="5" t="inlineStr">
        <is>
          <t>HDS-001</t>
        </is>
      </c>
      <c r="C11" s="5" t="inlineStr">
        <is>
          <t>Headset</t>
        </is>
      </c>
      <c r="D11" s="5" t="inlineStr">
        <is>
          <t>Jabra Evolve2 75</t>
        </is>
      </c>
      <c r="E11" s="5" t="inlineStr">
        <is>
          <t>JBR75-B2C3D4</t>
        </is>
      </c>
      <c r="F11" s="9" t="n">
        <v>46054</v>
      </c>
      <c r="G11" s="7" t="n">
        <v>229.99</v>
      </c>
      <c r="H11" s="5" t="inlineStr">
        <is>
          <t>Jabra Direct</t>
        </is>
      </c>
      <c r="I11" s="5" t="inlineStr">
        <is>
          <t>PO-2026-005</t>
        </is>
      </c>
      <c r="J11" s="9" t="n">
        <v>46784</v>
      </c>
      <c r="K11" s="5" t="inlineStr">
        <is>
          <t>New</t>
        </is>
      </c>
      <c r="L11" s="5" t="inlineStr">
        <is>
          <t>Deployed</t>
        </is>
      </c>
      <c r="M11" s="5" t="inlineStr">
        <is>
          <t>Maria Santos</t>
        </is>
      </c>
      <c r="N11" s="9" t="n">
        <v>46068</v>
      </c>
      <c r="O11" s="5" t="inlineStr">
        <is>
          <t>Employee Home</t>
        </is>
      </c>
      <c r="P11" s="5" t="inlineStr"/>
    </row>
    <row r="12">
      <c r="A12" s="2" t="inlineStr">
        <is>
          <t>AST-011</t>
        </is>
      </c>
      <c r="B12" s="2" t="inlineStr">
        <is>
          <t>HDS-002</t>
        </is>
      </c>
      <c r="C12" s="2" t="inlineStr">
        <is>
          <t>Headset</t>
        </is>
      </c>
      <c r="D12" s="2" t="inlineStr">
        <is>
          <t>Jabra Evolve2 75</t>
        </is>
      </c>
      <c r="E12" s="2" t="inlineStr">
        <is>
          <t>JBR75-E5F6G7</t>
        </is>
      </c>
      <c r="F12" s="8" t="n">
        <v>46054</v>
      </c>
      <c r="G12" s="4" t="n">
        <v>229.99</v>
      </c>
      <c r="H12" s="2" t="inlineStr">
        <is>
          <t>Jabra Direct</t>
        </is>
      </c>
      <c r="I12" s="2" t="inlineStr">
        <is>
          <t>PO-2026-005</t>
        </is>
      </c>
      <c r="J12" s="8" t="n">
        <v>46784</v>
      </c>
      <c r="K12" s="2" t="inlineStr">
        <is>
          <t>New</t>
        </is>
      </c>
      <c r="L12" s="2" t="inlineStr">
        <is>
          <t>Deployed</t>
        </is>
      </c>
      <c r="M12" s="2" t="inlineStr">
        <is>
          <t>Aisha Johnson</t>
        </is>
      </c>
      <c r="N12" s="8" t="n">
        <v>46071</v>
      </c>
      <c r="O12" s="2" t="inlineStr">
        <is>
          <t>Employee Home</t>
        </is>
      </c>
      <c r="P12" s="2" t="inlineStr"/>
    </row>
    <row r="13">
      <c r="A13" s="5" t="inlineStr">
        <is>
          <t>AST-012</t>
        </is>
      </c>
      <c r="B13" s="5" t="inlineStr">
        <is>
          <t>HDS-003</t>
        </is>
      </c>
      <c r="C13" s="5" t="inlineStr">
        <is>
          <t>Headset</t>
        </is>
      </c>
      <c r="D13" s="5" t="inlineStr">
        <is>
          <t>Poly Voyager Focus 2</t>
        </is>
      </c>
      <c r="E13" s="5" t="inlineStr">
        <is>
          <t>PLY-H8I9J1</t>
        </is>
      </c>
      <c r="F13" s="9" t="n">
        <v>45910</v>
      </c>
      <c r="G13" s="7" t="n">
        <v>199.99</v>
      </c>
      <c r="H13" s="5" t="inlineStr">
        <is>
          <t>CDW</t>
        </is>
      </c>
      <c r="I13" s="5" t="inlineStr">
        <is>
          <t>PO-2025-035</t>
        </is>
      </c>
      <c r="J13" s="9" t="n">
        <v>46640</v>
      </c>
      <c r="K13" s="5" t="inlineStr">
        <is>
          <t>Good</t>
        </is>
      </c>
      <c r="L13" s="5" t="inlineStr">
        <is>
          <t>In Stock</t>
        </is>
      </c>
      <c r="M13" s="5" t="inlineStr"/>
      <c r="N13" s="9" t="n"/>
      <c r="O13" s="5" t="inlineStr">
        <is>
          <t>Warehouse</t>
        </is>
      </c>
      <c r="P13" s="5" t="inlineStr"/>
    </row>
    <row r="14">
      <c r="A14" s="2" t="inlineStr">
        <is>
          <t>AST-013</t>
        </is>
      </c>
      <c r="B14" s="2" t="inlineStr">
        <is>
          <t>CAC-001</t>
        </is>
      </c>
      <c r="C14" s="2" t="inlineStr">
        <is>
          <t>CAC Reader</t>
        </is>
      </c>
      <c r="D14" s="2" t="inlineStr">
        <is>
          <t>HID Omnikey 3121</t>
        </is>
      </c>
      <c r="E14" s="2" t="inlineStr">
        <is>
          <t>HID-K2L3M4</t>
        </is>
      </c>
      <c r="F14" s="8" t="n">
        <v>46042</v>
      </c>
      <c r="G14" s="4" t="n">
        <v>34.99</v>
      </c>
      <c r="H14" s="2" t="inlineStr">
        <is>
          <t>GovConnection</t>
        </is>
      </c>
      <c r="I14" s="2" t="inlineStr">
        <is>
          <t>PO-2026-003</t>
        </is>
      </c>
      <c r="J14" s="8" t="n">
        <v>46772</v>
      </c>
      <c r="K14" s="2" t="inlineStr">
        <is>
          <t>New</t>
        </is>
      </c>
      <c r="L14" s="2" t="inlineStr">
        <is>
          <t>Deployed</t>
        </is>
      </c>
      <c r="M14" s="2" t="inlineStr">
        <is>
          <t>Maria Santos</t>
        </is>
      </c>
      <c r="N14" s="8" t="n">
        <v>46068</v>
      </c>
      <c r="O14" s="2" t="inlineStr">
        <is>
          <t>Employee Home</t>
        </is>
      </c>
      <c r="P14" s="2" t="inlineStr"/>
    </row>
    <row r="15">
      <c r="A15" s="5" t="inlineStr">
        <is>
          <t>AST-014</t>
        </is>
      </c>
      <c r="B15" s="5" t="inlineStr">
        <is>
          <t>CAC-002</t>
        </is>
      </c>
      <c r="C15" s="5" t="inlineStr">
        <is>
          <t>CAC Reader</t>
        </is>
      </c>
      <c r="D15" s="5" t="inlineStr">
        <is>
          <t>HID Omnikey 3121</t>
        </is>
      </c>
      <c r="E15" s="5" t="inlineStr">
        <is>
          <t>HID-N5O6P7</t>
        </is>
      </c>
      <c r="F15" s="9" t="n">
        <v>46042</v>
      </c>
      <c r="G15" s="7" t="n">
        <v>34.99</v>
      </c>
      <c r="H15" s="5" t="inlineStr">
        <is>
          <t>GovConnection</t>
        </is>
      </c>
      <c r="I15" s="5" t="inlineStr">
        <is>
          <t>PO-2026-003</t>
        </is>
      </c>
      <c r="J15" s="9" t="n">
        <v>46772</v>
      </c>
      <c r="K15" s="5" t="inlineStr">
        <is>
          <t>New</t>
        </is>
      </c>
      <c r="L15" s="5" t="inlineStr">
        <is>
          <t>Deployed</t>
        </is>
      </c>
      <c r="M15" s="5" t="inlineStr">
        <is>
          <t>James Carter</t>
        </is>
      </c>
      <c r="N15" s="9" t="n">
        <v>46069</v>
      </c>
      <c r="O15" s="5" t="inlineStr">
        <is>
          <t>Employee Home</t>
        </is>
      </c>
      <c r="P15" s="5" t="inlineStr"/>
    </row>
    <row r="16">
      <c r="A16" s="2" t="inlineStr">
        <is>
          <t>AST-015</t>
        </is>
      </c>
      <c r="B16" s="2" t="inlineStr">
        <is>
          <t>CAC-003</t>
        </is>
      </c>
      <c r="C16" s="2" t="inlineStr">
        <is>
          <t>CAC Reader</t>
        </is>
      </c>
      <c r="D16" s="2" t="inlineStr">
        <is>
          <t>HID Omnikey 3121</t>
        </is>
      </c>
      <c r="E16" s="2" t="inlineStr">
        <is>
          <t>HID-Q8R9S1</t>
        </is>
      </c>
      <c r="F16" s="8" t="n">
        <v>46042</v>
      </c>
      <c r="G16" s="4" t="n">
        <v>34.99</v>
      </c>
      <c r="H16" s="2" t="inlineStr">
        <is>
          <t>GovConnection</t>
        </is>
      </c>
      <c r="I16" s="2" t="inlineStr">
        <is>
          <t>PO-2026-003</t>
        </is>
      </c>
      <c r="J16" s="8" t="n">
        <v>46772</v>
      </c>
      <c r="K16" s="2" t="inlineStr">
        <is>
          <t>New</t>
        </is>
      </c>
      <c r="L16" s="2" t="inlineStr">
        <is>
          <t>Configured</t>
        </is>
      </c>
      <c r="M16" s="2" t="inlineStr"/>
      <c r="N16" s="8" t="n"/>
      <c r="O16" s="2" t="inlineStr">
        <is>
          <t>Warehouse</t>
        </is>
      </c>
      <c r="P16" s="2" t="inlineStr"/>
    </row>
    <row r="17">
      <c r="A17" s="5" t="inlineStr">
        <is>
          <t>AST-016</t>
        </is>
      </c>
      <c r="B17" s="5" t="inlineStr">
        <is>
          <t>KBM-001</t>
        </is>
      </c>
      <c r="C17" s="5" t="inlineStr">
        <is>
          <t>Keyboard/Mouse</t>
        </is>
      </c>
      <c r="D17" s="5" t="inlineStr">
        <is>
          <t>Logitech MK540</t>
        </is>
      </c>
      <c r="E17" s="5" t="inlineStr">
        <is>
          <t>LOG-T2U3V4</t>
        </is>
      </c>
      <c r="F17" s="9" t="n">
        <v>46047</v>
      </c>
      <c r="G17" s="7" t="n">
        <v>49.99</v>
      </c>
      <c r="H17" s="5" t="inlineStr">
        <is>
          <t>Amazon Business</t>
        </is>
      </c>
      <c r="I17" s="5" t="inlineStr">
        <is>
          <t>PO-2026-004</t>
        </is>
      </c>
      <c r="J17" s="9" t="n">
        <v>46777</v>
      </c>
      <c r="K17" s="5" t="inlineStr">
        <is>
          <t>New</t>
        </is>
      </c>
      <c r="L17" s="5" t="inlineStr">
        <is>
          <t>Deployed</t>
        </is>
      </c>
      <c r="M17" s="5" t="inlineStr">
        <is>
          <t>Maria Santos</t>
        </is>
      </c>
      <c r="N17" s="9" t="n">
        <v>46068</v>
      </c>
      <c r="O17" s="5" t="inlineStr">
        <is>
          <t>Employee Home</t>
        </is>
      </c>
      <c r="P17" s="5" t="inlineStr"/>
    </row>
    <row r="18">
      <c r="A18" s="2" t="inlineStr">
        <is>
          <t>AST-017</t>
        </is>
      </c>
      <c r="B18" s="2" t="inlineStr">
        <is>
          <t>KBM-002</t>
        </is>
      </c>
      <c r="C18" s="2" t="inlineStr">
        <is>
          <t>Keyboard/Mouse</t>
        </is>
      </c>
      <c r="D18" s="2" t="inlineStr">
        <is>
          <t>Logitech MK540</t>
        </is>
      </c>
      <c r="E18" s="2" t="inlineStr">
        <is>
          <t>LOG-W5X6Y7</t>
        </is>
      </c>
      <c r="F18" s="8" t="n">
        <v>46047</v>
      </c>
      <c r="G18" s="4" t="n">
        <v>49.99</v>
      </c>
      <c r="H18" s="2" t="inlineStr">
        <is>
          <t>Amazon Business</t>
        </is>
      </c>
      <c r="I18" s="2" t="inlineStr">
        <is>
          <t>PO-2026-004</t>
        </is>
      </c>
      <c r="J18" s="8" t="n">
        <v>46777</v>
      </c>
      <c r="K18" s="2" t="inlineStr">
        <is>
          <t>New</t>
        </is>
      </c>
      <c r="L18" s="2" t="inlineStr">
        <is>
          <t>Deployed</t>
        </is>
      </c>
      <c r="M18" s="2" t="inlineStr">
        <is>
          <t>James Carter</t>
        </is>
      </c>
      <c r="N18" s="8" t="n">
        <v>46069</v>
      </c>
      <c r="O18" s="2" t="inlineStr">
        <is>
          <t>Employee Home</t>
        </is>
      </c>
      <c r="P18" s="2" t="inlineStr"/>
    </row>
    <row r="19">
      <c r="A19" s="5" t="inlineStr">
        <is>
          <t>AST-018</t>
        </is>
      </c>
      <c r="B19" s="5" t="inlineStr">
        <is>
          <t>WBC-001</t>
        </is>
      </c>
      <c r="C19" s="5" t="inlineStr">
        <is>
          <t>Webcam</t>
        </is>
      </c>
      <c r="D19" s="5" t="inlineStr">
        <is>
          <t>Logitech C920s</t>
        </is>
      </c>
      <c r="E19" s="5" t="inlineStr">
        <is>
          <t>LOGC-Z8A1B2</t>
        </is>
      </c>
      <c r="F19" s="9" t="n">
        <v>46058</v>
      </c>
      <c r="G19" s="7" t="n">
        <v>69.98999999999999</v>
      </c>
      <c r="H19" s="5" t="inlineStr">
        <is>
          <t>Amazon Business</t>
        </is>
      </c>
      <c r="I19" s="5" t="inlineStr">
        <is>
          <t>PO-2026-006</t>
        </is>
      </c>
      <c r="J19" s="9" t="n">
        <v>46788</v>
      </c>
      <c r="K19" s="5" t="inlineStr">
        <is>
          <t>New</t>
        </is>
      </c>
      <c r="L19" s="5" t="inlineStr">
        <is>
          <t>Deployed</t>
        </is>
      </c>
      <c r="M19" s="5" t="inlineStr">
        <is>
          <t>Maria Santos</t>
        </is>
      </c>
      <c r="N19" s="9" t="n">
        <v>46068</v>
      </c>
      <c r="O19" s="5" t="inlineStr">
        <is>
          <t>Employee Home</t>
        </is>
      </c>
      <c r="P19" s="5" t="inlineStr"/>
    </row>
    <row r="20">
      <c r="A20" s="2" t="inlineStr">
        <is>
          <t>AST-019</t>
        </is>
      </c>
      <c r="B20" s="2" t="inlineStr">
        <is>
          <t>WBC-002</t>
        </is>
      </c>
      <c r="C20" s="2" t="inlineStr">
        <is>
          <t>Webcam</t>
        </is>
      </c>
      <c r="D20" s="2" t="inlineStr">
        <is>
          <t>Logitech C920s</t>
        </is>
      </c>
      <c r="E20" s="2" t="inlineStr">
        <is>
          <t>LOGC-C3D4E5</t>
        </is>
      </c>
      <c r="F20" s="8" t="n">
        <v>46058</v>
      </c>
      <c r="G20" s="4" t="n">
        <v>69.98999999999999</v>
      </c>
      <c r="H20" s="2" t="inlineStr">
        <is>
          <t>Amazon Business</t>
        </is>
      </c>
      <c r="I20" s="2" t="inlineStr">
        <is>
          <t>PO-2026-006</t>
        </is>
      </c>
      <c r="J20" s="8" t="n">
        <v>46788</v>
      </c>
      <c r="K20" s="2" t="inlineStr">
        <is>
          <t>New</t>
        </is>
      </c>
      <c r="L20" s="2" t="inlineStr">
        <is>
          <t>Shipped</t>
        </is>
      </c>
      <c r="M20" s="2" t="inlineStr"/>
      <c r="N20" s="8" t="n"/>
      <c r="O20" s="2" t="inlineStr">
        <is>
          <t>In Transit</t>
        </is>
      </c>
      <c r="P20" s="2" t="inlineStr"/>
    </row>
    <row r="21">
      <c r="A21" s="5" t="inlineStr">
        <is>
          <t>AST-020</t>
        </is>
      </c>
      <c r="B21" s="5" t="inlineStr">
        <is>
          <t>DOC-001</t>
        </is>
      </c>
      <c r="C21" s="5" t="inlineStr">
        <is>
          <t>Docking Station</t>
        </is>
      </c>
      <c r="D21" s="5" t="inlineStr">
        <is>
          <t>Dell WD22TB4</t>
        </is>
      </c>
      <c r="E21" s="5" t="inlineStr">
        <is>
          <t>DWD-F6G7H8</t>
        </is>
      </c>
      <c r="F21" s="9" t="n">
        <v>46034</v>
      </c>
      <c r="G21" s="7" t="n">
        <v>279.99</v>
      </c>
      <c r="H21" s="5" t="inlineStr">
        <is>
          <t>Dell Technologies</t>
        </is>
      </c>
      <c r="I21" s="5" t="inlineStr">
        <is>
          <t>PO-2026-001</t>
        </is>
      </c>
      <c r="J21" s="9" t="n">
        <v>47130</v>
      </c>
      <c r="K21" s="5" t="inlineStr">
        <is>
          <t>New</t>
        </is>
      </c>
      <c r="L21" s="5" t="inlineStr">
        <is>
          <t>Deployed</t>
        </is>
      </c>
      <c r="M21" s="5" t="inlineStr">
        <is>
          <t>Aisha Johnson</t>
        </is>
      </c>
      <c r="N21" s="9" t="n">
        <v>46042</v>
      </c>
      <c r="O21" s="5" t="inlineStr">
        <is>
          <t>Employee Home</t>
        </is>
      </c>
      <c r="P21" s="5" t="inlineStr"/>
    </row>
    <row r="22">
      <c r="A22" s="2" t="inlineStr">
        <is>
          <t>AST-021</t>
        </is>
      </c>
      <c r="B22" s="2" t="inlineStr">
        <is>
          <t>DOC-002</t>
        </is>
      </c>
      <c r="C22" s="2" t="inlineStr">
        <is>
          <t>Docking Station</t>
        </is>
      </c>
      <c r="D22" s="2" t="inlineStr">
        <is>
          <t>Dell WD22TB4</t>
        </is>
      </c>
      <c r="E22" s="2" t="inlineStr">
        <is>
          <t>DWD-I9J1K2</t>
        </is>
      </c>
      <c r="F22" s="8" t="n">
        <v>46034</v>
      </c>
      <c r="G22" s="4" t="n">
        <v>279.99</v>
      </c>
      <c r="H22" s="2" t="inlineStr">
        <is>
          <t>Dell Technologies</t>
        </is>
      </c>
      <c r="I22" s="2" t="inlineStr">
        <is>
          <t>PO-2026-001</t>
        </is>
      </c>
      <c r="J22" s="8" t="n">
        <v>47130</v>
      </c>
      <c r="K22" s="2" t="inlineStr">
        <is>
          <t>New</t>
        </is>
      </c>
      <c r="L22" s="2" t="inlineStr">
        <is>
          <t>In Stock</t>
        </is>
      </c>
      <c r="M22" s="2" t="inlineStr"/>
      <c r="N22" s="8" t="n"/>
      <c r="O22" s="2" t="inlineStr">
        <is>
          <t>Warehouse</t>
        </is>
      </c>
      <c r="P22" s="2" t="inlineStr"/>
    </row>
    <row r="23">
      <c r="A23" s="5" t="inlineStr">
        <is>
          <t>AST-022</t>
        </is>
      </c>
      <c r="B23" s="5" t="inlineStr">
        <is>
          <t>MPH-001</t>
        </is>
      </c>
      <c r="C23" s="5" t="inlineStr">
        <is>
          <t>Mobile Phone</t>
        </is>
      </c>
      <c r="D23" s="5" t="inlineStr">
        <is>
          <t>iPhone 15</t>
        </is>
      </c>
      <c r="E23" s="5" t="inlineStr">
        <is>
          <t>APL-L3M4N5</t>
        </is>
      </c>
      <c r="F23" s="9" t="n">
        <v>45992</v>
      </c>
      <c r="G23" s="7" t="n">
        <v>999</v>
      </c>
      <c r="H23" s="5" t="inlineStr">
        <is>
          <t>Apple Business</t>
        </is>
      </c>
      <c r="I23" s="5" t="inlineStr">
        <is>
          <t>PO-2025-050</t>
        </is>
      </c>
      <c r="J23" s="9" t="n">
        <v>46722</v>
      </c>
      <c r="K23" s="5" t="inlineStr">
        <is>
          <t>Good</t>
        </is>
      </c>
      <c r="L23" s="5" t="inlineStr">
        <is>
          <t>Deployed</t>
        </is>
      </c>
      <c r="M23" s="5" t="inlineStr">
        <is>
          <t>Robert Chen</t>
        </is>
      </c>
      <c r="N23" s="9" t="n">
        <v>46027</v>
      </c>
      <c r="O23" s="5" t="inlineStr">
        <is>
          <t>Employee Home</t>
        </is>
      </c>
      <c r="P23" s="5" t="inlineStr">
        <is>
          <t>Supervisor device</t>
        </is>
      </c>
    </row>
    <row r="24">
      <c r="A24" s="2" t="inlineStr">
        <is>
          <t>AST-023</t>
        </is>
      </c>
      <c r="B24" s="2" t="inlineStr">
        <is>
          <t>PRT-001</t>
        </is>
      </c>
      <c r="C24" s="2" t="inlineStr">
        <is>
          <t>Printer</t>
        </is>
      </c>
      <c r="D24" s="2" t="inlineStr">
        <is>
          <t>HP LaserJet Pro M404n</t>
        </is>
      </c>
      <c r="E24" s="2" t="inlineStr">
        <is>
          <t>HPP-O6P7Q8</t>
        </is>
      </c>
      <c r="F24" s="8" t="n">
        <v>45823</v>
      </c>
      <c r="G24" s="4" t="n">
        <v>349</v>
      </c>
      <c r="H24" s="2" t="inlineStr">
        <is>
          <t>HP Inc.</t>
        </is>
      </c>
      <c r="I24" s="2" t="inlineStr">
        <is>
          <t>PO-2025-022</t>
        </is>
      </c>
      <c r="J24" s="8" t="n">
        <v>46188</v>
      </c>
      <c r="K24" s="2" t="inlineStr">
        <is>
          <t>Fair</t>
        </is>
      </c>
      <c r="L24" s="2" t="inlineStr">
        <is>
          <t>Deployed</t>
        </is>
      </c>
      <c r="M24" s="2" t="inlineStr">
        <is>
          <t>Sarah Williams</t>
        </is>
      </c>
      <c r="N24" s="8" t="n">
        <v>45870</v>
      </c>
      <c r="O24" s="2" t="inlineStr">
        <is>
          <t>Employee Home</t>
        </is>
      </c>
      <c r="P24" s="2" t="inlineStr">
        <is>
          <t>Toner replacement needed</t>
        </is>
      </c>
    </row>
    <row r="25">
      <c r="A25" s="5" t="inlineStr">
        <is>
          <t>AST-024</t>
        </is>
      </c>
      <c r="B25" s="5" t="inlineStr">
        <is>
          <t>SWL-001</t>
        </is>
      </c>
      <c r="C25" s="5" t="inlineStr">
        <is>
          <t>Software License</t>
        </is>
      </c>
      <c r="D25" s="5" t="inlineStr">
        <is>
          <t>Microsoft 365 E3</t>
        </is>
      </c>
      <c r="E25" s="5" t="inlineStr">
        <is>
          <t>MS365-R9S1T2</t>
        </is>
      </c>
      <c r="F25" s="9" t="n">
        <v>46023</v>
      </c>
      <c r="G25" s="7" t="n">
        <v>432</v>
      </c>
      <c r="H25" s="5" t="inlineStr">
        <is>
          <t>Microsoft</t>
        </is>
      </c>
      <c r="I25" s="5" t="inlineStr">
        <is>
          <t>PO-2026-010</t>
        </is>
      </c>
      <c r="J25" s="9" t="n">
        <v>46388</v>
      </c>
      <c r="K25" s="5" t="inlineStr">
        <is>
          <t>New</t>
        </is>
      </c>
      <c r="L25" s="5" t="inlineStr">
        <is>
          <t>Deployed</t>
        </is>
      </c>
      <c r="M25" s="5" t="inlineStr">
        <is>
          <t>Maria Santos</t>
        </is>
      </c>
      <c r="N25" s="9" t="n">
        <v>46037</v>
      </c>
      <c r="O25" s="5" t="inlineStr">
        <is>
          <t>Employee Home</t>
        </is>
      </c>
      <c r="P25" s="5" t="inlineStr">
        <is>
          <t>Annual license</t>
        </is>
      </c>
    </row>
    <row r="26">
      <c r="A26" s="2" t="inlineStr">
        <is>
          <t>AST-025</t>
        </is>
      </c>
      <c r="B26" s="2" t="inlineStr">
        <is>
          <t>LPT-006</t>
        </is>
      </c>
      <c r="C26" s="2" t="inlineStr">
        <is>
          <t>Laptop</t>
        </is>
      </c>
      <c r="D26" s="2" t="inlineStr">
        <is>
          <t>Dell Latitude 5540</t>
        </is>
      </c>
      <c r="E26" s="2" t="inlineStr">
        <is>
          <t>DL5540-U3V4W5</t>
        </is>
      </c>
      <c r="F26" s="8" t="n">
        <v>46082</v>
      </c>
      <c r="G26" s="4" t="n">
        <v>1249.99</v>
      </c>
      <c r="H26" s="2" t="inlineStr">
        <is>
          <t>Dell Technologies</t>
        </is>
      </c>
      <c r="I26" s="2" t="inlineStr">
        <is>
          <t>PO-2026-015</t>
        </is>
      </c>
      <c r="J26" s="8" t="n">
        <v>47178</v>
      </c>
      <c r="K26" s="2" t="inlineStr">
        <is>
          <t>New</t>
        </is>
      </c>
      <c r="L26" s="2" t="inlineStr">
        <is>
          <t>In Stock</t>
        </is>
      </c>
      <c r="M26" s="2" t="inlineStr"/>
      <c r="N26" s="8" t="n"/>
      <c r="O26" s="2" t="inlineStr">
        <is>
          <t>Warehouse</t>
        </is>
      </c>
      <c r="P26" s="2" t="inlineStr">
        <is>
          <t>Reserve unit</t>
        </is>
      </c>
    </row>
  </sheetData>
  <conditionalFormatting sqref="J2:J26">
    <cfRule type="expression" priority="1" dxfId="0">
      <formula>AND(J2&lt;&gt;"",$J2&lt;TODAY())</formula>
    </cfRule>
    <cfRule type="expression" priority="2" dxfId="1">
      <formula>AND(J2&lt;&gt;"",J2&gt;=TODAY(),J2&lt;=TODAY()+90)</formula>
    </cfRule>
  </conditionalFormatting>
  <dataValidations count="4">
    <dataValidation sqref="C2:C26" showDropDown="0" showInputMessage="0" showErrorMessage="0" allowBlank="1" type="list">
      <formula1>"Laptop,Monitor,Headset,CAC Reader,Keyboard/Mouse,Webcam,Docking Station,Mobile Phone,Printer,Software License,Other"</formula1>
    </dataValidation>
    <dataValidation sqref="K2:K26" showDropDown="0" showInputMessage="0" showErrorMessage="0" allowBlank="1" type="list">
      <formula1>"New,Good,Fair,Poor,Damaged,Disposed"</formula1>
    </dataValidation>
    <dataValidation sqref="L2:L26" showDropDown="0" showInputMessage="0" showErrorMessage="0" allowBlank="1" type="list">
      <formula1>"In Stock,Configured,Shipped,Deployed,Return Requested,Returned,Lost,Damaged,Disposed"</formula1>
    </dataValidation>
    <dataValidation sqref="O2:O26" showDropDown="0" showInputMessage="0" showErrorMessage="0" allowBlank="1" type="list">
      <formula1>"Warehouse,In Transit,Employee Home,Office,Unknown"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6" customWidth="1" min="4" max="4"/>
    <col width="10" customWidth="1" min="5" max="5"/>
    <col width="11" customWidth="1" min="6" max="6"/>
    <col width="12" customWidth="1" min="7" max="7"/>
    <col width="18" customWidth="1" min="8" max="8"/>
    <col width="14" customWidth="1" min="9" max="9"/>
    <col width="13" customWidth="1" min="10" max="10"/>
    <col width="16" customWidth="1" min="11" max="11"/>
    <col width="15" customWidth="1" min="12" max="12"/>
    <col width="12" customWidth="1" min="13" max="13"/>
    <col width="14" customWidth="1" min="14" max="14"/>
    <col width="14" customWidth="1" min="15" max="15"/>
    <col width="22" customWidth="1" min="16" max="16"/>
    <col width="10" customWidth="1" min="17" max="17"/>
    <col width="13" customWidth="1" min="18" max="18"/>
    <col width="22" customWidth="1" min="19" max="19"/>
  </cols>
  <sheetData>
    <row r="1" ht="30" customHeight="1">
      <c r="A1" s="1" t="inlineStr">
        <is>
          <t>Request ID</t>
        </is>
      </c>
      <c r="B1" s="1" t="inlineStr">
        <is>
          <t>Request Date</t>
        </is>
      </c>
      <c r="C1" s="1" t="inlineStr">
        <is>
          <t>Requested By</t>
        </is>
      </c>
      <c r="D1" s="1" t="inlineStr">
        <is>
          <t>Equipment Type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Total Cost</t>
        </is>
      </c>
      <c r="H1" s="1" t="inlineStr">
        <is>
          <t>Vendor</t>
        </is>
      </c>
      <c r="I1" s="1" t="inlineStr">
        <is>
          <t>PO Number</t>
        </is>
      </c>
      <c r="J1" s="1" t="inlineStr">
        <is>
          <t>Order Date</t>
        </is>
      </c>
      <c r="K1" s="1" t="inlineStr">
        <is>
          <t>Expected Delivery</t>
        </is>
      </c>
      <c r="L1" s="1" t="inlineStr">
        <is>
          <t>Actual Delivery</t>
        </is>
      </c>
      <c r="M1" s="1" t="inlineStr">
        <is>
          <t>Status</t>
        </is>
      </c>
      <c r="N1" s="1" t="inlineStr">
        <is>
          <t>Approval Status</t>
        </is>
      </c>
      <c r="O1" s="1" t="inlineStr">
        <is>
          <t>Approved By</t>
        </is>
      </c>
      <c r="P1" s="1" t="inlineStr">
        <is>
          <t>Tracking Number</t>
        </is>
      </c>
      <c r="Q1" s="1" t="inlineStr">
        <is>
          <t>Carrier</t>
        </is>
      </c>
      <c r="R1" s="1" t="inlineStr">
        <is>
          <t>Days to Fulfill</t>
        </is>
      </c>
      <c r="S1" s="1" t="inlineStr">
        <is>
          <t>Notes</t>
        </is>
      </c>
    </row>
    <row r="2">
      <c r="A2" s="2" t="inlineStr">
        <is>
          <t>REQ-001</t>
        </is>
      </c>
      <c r="B2" s="8" t="n">
        <v>46027</v>
      </c>
      <c r="C2" s="2" t="inlineStr">
        <is>
          <t>Kelly Thompson</t>
        </is>
      </c>
      <c r="D2" s="2" t="inlineStr">
        <is>
          <t>Laptop</t>
        </is>
      </c>
      <c r="E2" s="2" t="n">
        <v>10</v>
      </c>
      <c r="F2" s="4" t="n">
        <v>1249.99</v>
      </c>
      <c r="G2" s="4">
        <f>E2*F2</f>
        <v/>
      </c>
      <c r="H2" s="2" t="inlineStr">
        <is>
          <t>Dell Technologies</t>
        </is>
      </c>
      <c r="I2" s="2" t="inlineStr">
        <is>
          <t>PO-2026-001</t>
        </is>
      </c>
      <c r="J2" s="8" t="n">
        <v>46030</v>
      </c>
      <c r="K2" s="8" t="n">
        <v>46042</v>
      </c>
      <c r="L2" s="8" t="n">
        <v>46040</v>
      </c>
      <c r="M2" s="2" t="inlineStr">
        <is>
          <t>Received</t>
        </is>
      </c>
      <c r="N2" s="2" t="inlineStr">
        <is>
          <t>Approved</t>
        </is>
      </c>
      <c r="O2" s="2" t="inlineStr">
        <is>
          <t>Mike Davis</t>
        </is>
      </c>
      <c r="P2" s="2" t="inlineStr">
        <is>
          <t>1Z999AA10123456784</t>
        </is>
      </c>
      <c r="Q2" s="2" t="inlineStr">
        <is>
          <t>UPS</t>
        </is>
      </c>
      <c r="R2" s="2">
        <f>IF(L2="","",L2-B2)</f>
        <v/>
      </c>
      <c r="S2" s="2" t="inlineStr">
        <is>
          <t>Bulk order for surge</t>
        </is>
      </c>
    </row>
    <row r="3">
      <c r="A3" s="5" t="inlineStr">
        <is>
          <t>REQ-002</t>
        </is>
      </c>
      <c r="B3" s="9" t="n">
        <v>46032</v>
      </c>
      <c r="C3" s="5" t="inlineStr">
        <is>
          <t>Kelly Thompson</t>
        </is>
      </c>
      <c r="D3" s="5" t="inlineStr">
        <is>
          <t>Monitor</t>
        </is>
      </c>
      <c r="E3" s="5" t="n">
        <v>10</v>
      </c>
      <c r="F3" s="7" t="n">
        <v>489.99</v>
      </c>
      <c r="G3" s="7">
        <f>E3*F3</f>
        <v/>
      </c>
      <c r="H3" s="5" t="inlineStr">
        <is>
          <t>Dell Technologies</t>
        </is>
      </c>
      <c r="I3" s="5" t="inlineStr">
        <is>
          <t>PO-2026-002</t>
        </is>
      </c>
      <c r="J3" s="9" t="n">
        <v>46034</v>
      </c>
      <c r="K3" s="9" t="n">
        <v>46047</v>
      </c>
      <c r="L3" s="9" t="n">
        <v>46046</v>
      </c>
      <c r="M3" s="5" t="inlineStr">
        <is>
          <t>Received</t>
        </is>
      </c>
      <c r="N3" s="5" t="inlineStr">
        <is>
          <t>Approved</t>
        </is>
      </c>
      <c r="O3" s="5" t="inlineStr">
        <is>
          <t>Mike Davis</t>
        </is>
      </c>
      <c r="P3" s="5" t="inlineStr">
        <is>
          <t>1Z999AA10123456785</t>
        </is>
      </c>
      <c r="Q3" s="5" t="inlineStr">
        <is>
          <t>UPS</t>
        </is>
      </c>
      <c r="R3" s="5">
        <f>IF(L3="","",L3-B3)</f>
        <v/>
      </c>
      <c r="S3" s="5" t="inlineStr">
        <is>
          <t>27-inch monitors</t>
        </is>
      </c>
    </row>
    <row r="4">
      <c r="A4" s="2" t="inlineStr">
        <is>
          <t>REQ-003</t>
        </is>
      </c>
      <c r="B4" s="8" t="n">
        <v>46034</v>
      </c>
      <c r="C4" s="2" t="inlineStr">
        <is>
          <t>Kelly Thompson</t>
        </is>
      </c>
      <c r="D4" s="2" t="inlineStr">
        <is>
          <t>CAC Reader</t>
        </is>
      </c>
      <c r="E4" s="2" t="n">
        <v>20</v>
      </c>
      <c r="F4" s="4" t="n">
        <v>34.99</v>
      </c>
      <c r="G4" s="4">
        <f>E4*F4</f>
        <v/>
      </c>
      <c r="H4" s="2" t="inlineStr">
        <is>
          <t>GovConnection</t>
        </is>
      </c>
      <c r="I4" s="2" t="inlineStr">
        <is>
          <t>PO-2026-003</t>
        </is>
      </c>
      <c r="J4" s="8" t="n">
        <v>46036</v>
      </c>
      <c r="K4" s="8" t="n">
        <v>46044</v>
      </c>
      <c r="L4" s="8" t="n">
        <v>46043</v>
      </c>
      <c r="M4" s="2" t="inlineStr">
        <is>
          <t>Received</t>
        </is>
      </c>
      <c r="N4" s="2" t="inlineStr">
        <is>
          <t>Approved</t>
        </is>
      </c>
      <c r="O4" s="2" t="inlineStr">
        <is>
          <t>Mike Davis</t>
        </is>
      </c>
      <c r="P4" s="2" t="inlineStr">
        <is>
          <t>9400111899223100001</t>
        </is>
      </c>
      <c r="Q4" s="2" t="inlineStr">
        <is>
          <t>USPS</t>
        </is>
      </c>
      <c r="R4" s="2">
        <f>IF(L4="","",L4-B4)</f>
        <v/>
      </c>
      <c r="S4" s="2" t="inlineStr"/>
    </row>
    <row r="5">
      <c r="A5" s="5" t="inlineStr">
        <is>
          <t>REQ-004</t>
        </is>
      </c>
      <c r="B5" s="9" t="n">
        <v>46037</v>
      </c>
      <c r="C5" s="5" t="inlineStr">
        <is>
          <t>Kelly Thompson</t>
        </is>
      </c>
      <c r="D5" s="5" t="inlineStr">
        <is>
          <t>Keyboard/Mouse</t>
        </is>
      </c>
      <c r="E5" s="5" t="n">
        <v>15</v>
      </c>
      <c r="F5" s="7" t="n">
        <v>49.99</v>
      </c>
      <c r="G5" s="7">
        <f>E5*F5</f>
        <v/>
      </c>
      <c r="H5" s="5" t="inlineStr">
        <is>
          <t>Amazon Business</t>
        </is>
      </c>
      <c r="I5" s="5" t="inlineStr">
        <is>
          <t>PO-2026-004</t>
        </is>
      </c>
      <c r="J5" s="9" t="n">
        <v>46038</v>
      </c>
      <c r="K5" s="9" t="n">
        <v>46045</v>
      </c>
      <c r="L5" s="9" t="n">
        <v>46044</v>
      </c>
      <c r="M5" s="5" t="inlineStr">
        <is>
          <t>Received</t>
        </is>
      </c>
      <c r="N5" s="5" t="inlineStr">
        <is>
          <t>Approved</t>
        </is>
      </c>
      <c r="O5" s="5" t="inlineStr">
        <is>
          <t>Mike Davis</t>
        </is>
      </c>
      <c r="P5" s="5" t="inlineStr">
        <is>
          <t>TBA612345678901</t>
        </is>
      </c>
      <c r="Q5" s="5" t="inlineStr">
        <is>
          <t>FedEx</t>
        </is>
      </c>
      <c r="R5" s="5">
        <f>IF(L5="","",L5-B5)</f>
        <v/>
      </c>
      <c r="S5" s="5" t="inlineStr">
        <is>
          <t>Wireless combo sets</t>
        </is>
      </c>
    </row>
    <row r="6">
      <c r="A6" s="2" t="inlineStr">
        <is>
          <t>REQ-005</t>
        </is>
      </c>
      <c r="B6" s="8" t="n">
        <v>46042</v>
      </c>
      <c r="C6" s="2" t="inlineStr">
        <is>
          <t>Sarah Williams</t>
        </is>
      </c>
      <c r="D6" s="2" t="inlineStr">
        <is>
          <t>Headset</t>
        </is>
      </c>
      <c r="E6" s="2" t="n">
        <v>15</v>
      </c>
      <c r="F6" s="4" t="n">
        <v>229.99</v>
      </c>
      <c r="G6" s="4">
        <f>E6*F6</f>
        <v/>
      </c>
      <c r="H6" s="2" t="inlineStr">
        <is>
          <t>Jabra Direct</t>
        </is>
      </c>
      <c r="I6" s="2" t="inlineStr">
        <is>
          <t>PO-2026-005</t>
        </is>
      </c>
      <c r="J6" s="8" t="n">
        <v>46044</v>
      </c>
      <c r="K6" s="8" t="n">
        <v>46056</v>
      </c>
      <c r="L6" s="8" t="n">
        <v>46054</v>
      </c>
      <c r="M6" s="2" t="inlineStr">
        <is>
          <t>Received</t>
        </is>
      </c>
      <c r="N6" s="2" t="inlineStr">
        <is>
          <t>Approved</t>
        </is>
      </c>
      <c r="O6" s="2" t="inlineStr">
        <is>
          <t>Mike Davis</t>
        </is>
      </c>
      <c r="P6" s="2" t="inlineStr">
        <is>
          <t>1Z999AA10123456786</t>
        </is>
      </c>
      <c r="Q6" s="2" t="inlineStr">
        <is>
          <t>UPS</t>
        </is>
      </c>
      <c r="R6" s="2">
        <f>IF(L6="","",L6-B6)</f>
        <v/>
      </c>
      <c r="S6" s="2" t="inlineStr"/>
    </row>
    <row r="7">
      <c r="A7" s="5" t="inlineStr">
        <is>
          <t>REQ-006</t>
        </is>
      </c>
      <c r="B7" s="9" t="n">
        <v>46047</v>
      </c>
      <c r="C7" s="5" t="inlineStr">
        <is>
          <t>Sarah Williams</t>
        </is>
      </c>
      <c r="D7" s="5" t="inlineStr">
        <is>
          <t>Webcam</t>
        </is>
      </c>
      <c r="E7" s="5" t="n">
        <v>10</v>
      </c>
      <c r="F7" s="7" t="n">
        <v>69.98999999999999</v>
      </c>
      <c r="G7" s="7">
        <f>E7*F7</f>
        <v/>
      </c>
      <c r="H7" s="5" t="inlineStr">
        <is>
          <t>Amazon Business</t>
        </is>
      </c>
      <c r="I7" s="5" t="inlineStr">
        <is>
          <t>PO-2026-006</t>
        </is>
      </c>
      <c r="J7" s="9" t="n">
        <v>46049</v>
      </c>
      <c r="K7" s="9" t="n">
        <v>46058</v>
      </c>
      <c r="L7" s="9" t="n">
        <v>46057</v>
      </c>
      <c r="M7" s="5" t="inlineStr">
        <is>
          <t>Received</t>
        </is>
      </c>
      <c r="N7" s="5" t="inlineStr">
        <is>
          <t>Approved</t>
        </is>
      </c>
      <c r="O7" s="5" t="inlineStr">
        <is>
          <t>Mike Davis</t>
        </is>
      </c>
      <c r="P7" s="5" t="inlineStr">
        <is>
          <t>TBA612345678902</t>
        </is>
      </c>
      <c r="Q7" s="5" t="inlineStr">
        <is>
          <t>FedEx</t>
        </is>
      </c>
      <c r="R7" s="5">
        <f>IF(L7="","",L7-B7)</f>
        <v/>
      </c>
      <c r="S7" s="5" t="inlineStr"/>
    </row>
    <row r="8">
      <c r="A8" s="2" t="inlineStr">
        <is>
          <t>REQ-007</t>
        </is>
      </c>
      <c r="B8" s="8" t="n">
        <v>46054</v>
      </c>
      <c r="C8" s="2" t="inlineStr">
        <is>
          <t>Kelly Thompson</t>
        </is>
      </c>
      <c r="D8" s="2" t="inlineStr">
        <is>
          <t>Docking Station</t>
        </is>
      </c>
      <c r="E8" s="2" t="n">
        <v>8</v>
      </c>
      <c r="F8" s="4" t="n">
        <v>279.99</v>
      </c>
      <c r="G8" s="4">
        <f>E8*F8</f>
        <v/>
      </c>
      <c r="H8" s="2" t="inlineStr">
        <is>
          <t>Dell Technologies</t>
        </is>
      </c>
      <c r="I8" s="2" t="inlineStr">
        <is>
          <t>PO-2026-007</t>
        </is>
      </c>
      <c r="J8" s="8" t="n">
        <v>46056</v>
      </c>
      <c r="K8" s="8" t="n">
        <v>46068</v>
      </c>
      <c r="L8" s="8" t="n">
        <v>46067</v>
      </c>
      <c r="M8" s="2" t="inlineStr">
        <is>
          <t>Received</t>
        </is>
      </c>
      <c r="N8" s="2" t="inlineStr">
        <is>
          <t>Approved</t>
        </is>
      </c>
      <c r="O8" s="2" t="inlineStr">
        <is>
          <t>Mike Davis</t>
        </is>
      </c>
      <c r="P8" s="2" t="inlineStr">
        <is>
          <t>1Z999AA10123456787</t>
        </is>
      </c>
      <c r="Q8" s="2" t="inlineStr">
        <is>
          <t>UPS</t>
        </is>
      </c>
      <c r="R8" s="2">
        <f>IF(L8="","",L8-B8)</f>
        <v/>
      </c>
      <c r="S8" s="2" t="inlineStr"/>
    </row>
    <row r="9">
      <c r="A9" s="5" t="inlineStr">
        <is>
          <t>REQ-008</t>
        </is>
      </c>
      <c r="B9" s="9" t="n">
        <v>46063</v>
      </c>
      <c r="C9" s="5" t="inlineStr">
        <is>
          <t>Sarah Williams</t>
        </is>
      </c>
      <c r="D9" s="5" t="inlineStr">
        <is>
          <t>Laptop</t>
        </is>
      </c>
      <c r="E9" s="5" t="n">
        <v>5</v>
      </c>
      <c r="F9" s="7" t="n">
        <v>1249.99</v>
      </c>
      <c r="G9" s="7">
        <f>E9*F9</f>
        <v/>
      </c>
      <c r="H9" s="5" t="inlineStr">
        <is>
          <t>Dell Technologies</t>
        </is>
      </c>
      <c r="I9" s="5" t="inlineStr">
        <is>
          <t>PO-2026-008</t>
        </is>
      </c>
      <c r="J9" s="9" t="n">
        <v>46065</v>
      </c>
      <c r="K9" s="9" t="n">
        <v>46078</v>
      </c>
      <c r="L9" s="9" t="n">
        <v>46077</v>
      </c>
      <c r="M9" s="5" t="inlineStr">
        <is>
          <t>Received</t>
        </is>
      </c>
      <c r="N9" s="5" t="inlineStr">
        <is>
          <t>Approved</t>
        </is>
      </c>
      <c r="O9" s="5" t="inlineStr">
        <is>
          <t>Mike Davis</t>
        </is>
      </c>
      <c r="P9" s="5" t="inlineStr">
        <is>
          <t>1Z999AA10123456788</t>
        </is>
      </c>
      <c r="Q9" s="5" t="inlineStr">
        <is>
          <t>UPS</t>
        </is>
      </c>
      <c r="R9" s="5">
        <f>IF(L9="","",L9-B9)</f>
        <v/>
      </c>
      <c r="S9" s="5" t="inlineStr">
        <is>
          <t>Second wave hiring</t>
        </is>
      </c>
    </row>
    <row r="10">
      <c r="A10" s="2" t="inlineStr">
        <is>
          <t>REQ-009</t>
        </is>
      </c>
      <c r="B10" s="8" t="n">
        <v>46073</v>
      </c>
      <c r="C10" s="2" t="inlineStr">
        <is>
          <t>Kelly Thompson</t>
        </is>
      </c>
      <c r="D10" s="2" t="inlineStr">
        <is>
          <t>Monitor</t>
        </is>
      </c>
      <c r="E10" s="2" t="n">
        <v>5</v>
      </c>
      <c r="F10" s="4" t="n">
        <v>449</v>
      </c>
      <c r="G10" s="4">
        <f>E10*F10</f>
        <v/>
      </c>
      <c r="H10" s="2" t="inlineStr">
        <is>
          <t>CDW</t>
        </is>
      </c>
      <c r="I10" s="2" t="inlineStr">
        <is>
          <t>PO-2026-009</t>
        </is>
      </c>
      <c r="J10" s="8" t="n">
        <v>46075</v>
      </c>
      <c r="K10" s="8" t="n">
        <v>46086</v>
      </c>
      <c r="L10" s="8" t="n">
        <v>46085</v>
      </c>
      <c r="M10" s="2" t="inlineStr">
        <is>
          <t>Received</t>
        </is>
      </c>
      <c r="N10" s="2" t="inlineStr">
        <is>
          <t>Approved</t>
        </is>
      </c>
      <c r="O10" s="2" t="inlineStr">
        <is>
          <t>Mike Davis</t>
        </is>
      </c>
      <c r="P10" s="2" t="inlineStr">
        <is>
          <t>1Z999AA10123456789</t>
        </is>
      </c>
      <c r="Q10" s="2" t="inlineStr">
        <is>
          <t>UPS</t>
        </is>
      </c>
      <c r="R10" s="2">
        <f>IF(L10="","",L10-B10)</f>
        <v/>
      </c>
      <c r="S10" s="2" t="inlineStr">
        <is>
          <t>LG monitors</t>
        </is>
      </c>
    </row>
    <row r="11">
      <c r="A11" s="5" t="inlineStr">
        <is>
          <t>REQ-010</t>
        </is>
      </c>
      <c r="B11" s="9" t="n">
        <v>46082</v>
      </c>
      <c r="C11" s="5" t="inlineStr">
        <is>
          <t>Kelly Thompson</t>
        </is>
      </c>
      <c r="D11" s="5" t="inlineStr">
        <is>
          <t>Laptop</t>
        </is>
      </c>
      <c r="E11" s="5" t="n">
        <v>10</v>
      </c>
      <c r="F11" s="7" t="n">
        <v>1249.99</v>
      </c>
      <c r="G11" s="7">
        <f>E11*F11</f>
        <v/>
      </c>
      <c r="H11" s="5" t="inlineStr">
        <is>
          <t>Dell Technologies</t>
        </is>
      </c>
      <c r="I11" s="5" t="inlineStr">
        <is>
          <t>PO-2026-015</t>
        </is>
      </c>
      <c r="J11" s="9" t="n">
        <v>46084</v>
      </c>
      <c r="K11" s="9" t="n">
        <v>46096</v>
      </c>
      <c r="L11" s="9" t="n">
        <v>46095</v>
      </c>
      <c r="M11" s="5" t="inlineStr">
        <is>
          <t>Received</t>
        </is>
      </c>
      <c r="N11" s="5" t="inlineStr">
        <is>
          <t>Approved</t>
        </is>
      </c>
      <c r="O11" s="5" t="inlineStr">
        <is>
          <t>Mike Davis</t>
        </is>
      </c>
      <c r="P11" s="5" t="inlineStr">
        <is>
          <t>1Z999AA10123456790</t>
        </is>
      </c>
      <c r="Q11" s="5" t="inlineStr">
        <is>
          <t>UPS</t>
        </is>
      </c>
      <c r="R11" s="5">
        <f>IF(L11="","",L11-B11)</f>
        <v/>
      </c>
      <c r="S11" s="5" t="inlineStr">
        <is>
          <t>Third wave</t>
        </is>
      </c>
    </row>
    <row r="12">
      <c r="A12" s="2" t="inlineStr">
        <is>
          <t>REQ-011</t>
        </is>
      </c>
      <c r="B12" s="8" t="n">
        <v>46091</v>
      </c>
      <c r="C12" s="2" t="inlineStr">
        <is>
          <t>Sarah Williams</t>
        </is>
      </c>
      <c r="D12" s="2" t="inlineStr">
        <is>
          <t>Headset</t>
        </is>
      </c>
      <c r="E12" s="2" t="n">
        <v>10</v>
      </c>
      <c r="F12" s="4" t="n">
        <v>199.99</v>
      </c>
      <c r="G12" s="4">
        <f>E12*F12</f>
        <v/>
      </c>
      <c r="H12" s="2" t="inlineStr">
        <is>
          <t>CDW</t>
        </is>
      </c>
      <c r="I12" s="2" t="inlineStr">
        <is>
          <t>PO-2026-016</t>
        </is>
      </c>
      <c r="J12" s="8" t="n">
        <v>46093</v>
      </c>
      <c r="K12" s="8" t="n">
        <v>46103</v>
      </c>
      <c r="L12" s="8" t="n"/>
      <c r="M12" s="2" t="inlineStr">
        <is>
          <t>Shipped</t>
        </is>
      </c>
      <c r="N12" s="2" t="inlineStr">
        <is>
          <t>Approved</t>
        </is>
      </c>
      <c r="O12" s="2" t="inlineStr">
        <is>
          <t>Mike Davis</t>
        </is>
      </c>
      <c r="P12" s="2" t="inlineStr">
        <is>
          <t>1Z999AA10123456791</t>
        </is>
      </c>
      <c r="Q12" s="2" t="inlineStr">
        <is>
          <t>UPS</t>
        </is>
      </c>
      <c r="R12" s="2">
        <f>IF(L12="","",L12-B12)</f>
        <v/>
      </c>
      <c r="S12" s="2" t="inlineStr">
        <is>
          <t>Poly headsets</t>
        </is>
      </c>
    </row>
    <row r="13">
      <c r="A13" s="5" t="inlineStr">
        <is>
          <t>REQ-012</t>
        </is>
      </c>
      <c r="B13" s="9" t="n">
        <v>46096</v>
      </c>
      <c r="C13" s="5" t="inlineStr">
        <is>
          <t>Kelly Thompson</t>
        </is>
      </c>
      <c r="D13" s="5" t="inlineStr">
        <is>
          <t>Docking Station</t>
        </is>
      </c>
      <c r="E13" s="5" t="n">
        <v>5</v>
      </c>
      <c r="F13" s="7" t="n">
        <v>279.99</v>
      </c>
      <c r="G13" s="7">
        <f>E13*F13</f>
        <v/>
      </c>
      <c r="H13" s="5" t="inlineStr">
        <is>
          <t>Dell Technologies</t>
        </is>
      </c>
      <c r="I13" s="5" t="inlineStr">
        <is>
          <t>PO-2026-017</t>
        </is>
      </c>
      <c r="J13" s="9" t="n">
        <v>46098</v>
      </c>
      <c r="K13" s="9" t="n">
        <v>46109</v>
      </c>
      <c r="L13" s="9" t="n"/>
      <c r="M13" s="5" t="inlineStr">
        <is>
          <t>Ordered</t>
        </is>
      </c>
      <c r="N13" s="5" t="inlineStr">
        <is>
          <t>Approved</t>
        </is>
      </c>
      <c r="O13" s="5" t="inlineStr">
        <is>
          <t>Mike Davis</t>
        </is>
      </c>
      <c r="P13" s="5" t="inlineStr"/>
      <c r="Q13" s="5" t="inlineStr">
        <is>
          <t>FedEx</t>
        </is>
      </c>
      <c r="R13" s="5">
        <f>IF(L13="","",L13-B13)</f>
        <v/>
      </c>
      <c r="S13" s="5" t="inlineStr"/>
    </row>
    <row r="14">
      <c r="A14" s="2" t="inlineStr">
        <is>
          <t>REQ-013</t>
        </is>
      </c>
      <c r="B14" s="8" t="n">
        <v>46113</v>
      </c>
      <c r="C14" s="2" t="inlineStr">
        <is>
          <t>Sarah Williams</t>
        </is>
      </c>
      <c r="D14" s="2" t="inlineStr">
        <is>
          <t>Laptop</t>
        </is>
      </c>
      <c r="E14" s="2" t="n">
        <v>8</v>
      </c>
      <c r="F14" s="4" t="n">
        <v>1189</v>
      </c>
      <c r="G14" s="4">
        <f>E14*F14</f>
        <v/>
      </c>
      <c r="H14" s="2" t="inlineStr">
        <is>
          <t>HP Inc.</t>
        </is>
      </c>
      <c r="I14" s="2" t="inlineStr">
        <is>
          <t>PO-2026-020</t>
        </is>
      </c>
      <c r="J14" s="8" t="n">
        <v>46115</v>
      </c>
      <c r="K14" s="8" t="n">
        <v>46130</v>
      </c>
      <c r="L14" s="8" t="n"/>
      <c r="M14" s="2" t="inlineStr">
        <is>
          <t>Shipped</t>
        </is>
      </c>
      <c r="N14" s="2" t="inlineStr">
        <is>
          <t>Approved</t>
        </is>
      </c>
      <c r="O14" s="2" t="inlineStr">
        <is>
          <t>Mike Davis</t>
        </is>
      </c>
      <c r="P14" s="2" t="inlineStr">
        <is>
          <t>774820135792468</t>
        </is>
      </c>
      <c r="Q14" s="2" t="inlineStr">
        <is>
          <t>DHL</t>
        </is>
      </c>
      <c r="R14" s="2">
        <f>IF(L14="","",L14-B14)</f>
        <v/>
      </c>
      <c r="S14" s="2" t="inlineStr">
        <is>
          <t>HP EliteBooks</t>
        </is>
      </c>
    </row>
    <row r="15">
      <c r="A15" s="5" t="inlineStr">
        <is>
          <t>REQ-014</t>
        </is>
      </c>
      <c r="B15" s="9" t="n">
        <v>46122</v>
      </c>
      <c r="C15" s="5" t="inlineStr">
        <is>
          <t>Kelly Thompson</t>
        </is>
      </c>
      <c r="D15" s="5" t="inlineStr">
        <is>
          <t>Webcam</t>
        </is>
      </c>
      <c r="E15" s="5" t="n">
        <v>10</v>
      </c>
      <c r="F15" s="7" t="n">
        <v>69.98999999999999</v>
      </c>
      <c r="G15" s="7">
        <f>E15*F15</f>
        <v/>
      </c>
      <c r="H15" s="5" t="inlineStr">
        <is>
          <t>Amazon Business</t>
        </is>
      </c>
      <c r="I15" s="5" t="inlineStr"/>
      <c r="J15" s="9" t="n"/>
      <c r="K15" s="9" t="n"/>
      <c r="L15" s="9" t="n"/>
      <c r="M15" s="5" t="inlineStr">
        <is>
          <t>Requested</t>
        </is>
      </c>
      <c r="N15" s="5" t="inlineStr">
        <is>
          <t>Pending</t>
        </is>
      </c>
      <c r="O15" s="5" t="inlineStr"/>
      <c r="P15" s="5" t="inlineStr"/>
      <c r="Q15" s="5" t="inlineStr"/>
      <c r="R15" s="5">
        <f>IF(L15="","",L15-B15)</f>
        <v/>
      </c>
      <c r="S15" s="5" t="inlineStr">
        <is>
          <t>Awaiting approval</t>
        </is>
      </c>
    </row>
    <row r="16">
      <c r="A16" s="2" t="inlineStr">
        <is>
          <t>REQ-015</t>
        </is>
      </c>
      <c r="B16" s="8" t="n">
        <v>46127</v>
      </c>
      <c r="C16" s="2" t="inlineStr">
        <is>
          <t>Sarah Williams</t>
        </is>
      </c>
      <c r="D16" s="2" t="inlineStr">
        <is>
          <t>Mobile Phone</t>
        </is>
      </c>
      <c r="E16" s="2" t="n">
        <v>3</v>
      </c>
      <c r="F16" s="4" t="n">
        <v>999</v>
      </c>
      <c r="G16" s="4">
        <f>E16*F16</f>
        <v/>
      </c>
      <c r="H16" s="2" t="inlineStr">
        <is>
          <t>Apple Business</t>
        </is>
      </c>
      <c r="I16" s="2" t="inlineStr"/>
      <c r="J16" s="8" t="n"/>
      <c r="K16" s="8" t="n"/>
      <c r="L16" s="8" t="n"/>
      <c r="M16" s="2" t="inlineStr">
        <is>
          <t>Requested</t>
        </is>
      </c>
      <c r="N16" s="2" t="inlineStr">
        <is>
          <t>Pending</t>
        </is>
      </c>
      <c r="O16" s="2" t="inlineStr"/>
      <c r="P16" s="2" t="inlineStr"/>
      <c r="Q16" s="2" t="inlineStr"/>
      <c r="R16" s="2">
        <f>IF(L16="","",L16-B16)</f>
        <v/>
      </c>
      <c r="S16" s="2" t="inlineStr">
        <is>
          <t>Supervisor phones</t>
        </is>
      </c>
    </row>
  </sheetData>
  <conditionalFormatting sqref="K2:K16">
    <cfRule type="expression" priority="1" dxfId="0">
      <formula>AND($K2&lt;&gt;"",$L2="",$K2&lt;TODAY())</formula>
    </cfRule>
  </conditionalFormatting>
  <conditionalFormatting sqref="N2:N16">
    <cfRule type="cellIs" priority="2" operator="equal" dxfId="1">
      <formula>"Pending"</formula>
    </cfRule>
  </conditionalFormatting>
  <conditionalFormatting sqref="M2:M16">
    <cfRule type="cellIs" priority="3" operator="equal" dxfId="2">
      <formula>"Received"</formula>
    </cfRule>
  </conditionalFormatting>
  <dataValidations count="4">
    <dataValidation sqref="D2:D16" showDropDown="0" showInputMessage="0" showErrorMessage="0" allowBlank="1" type="list">
      <formula1>"Laptop,Monitor,Headset,CAC Reader,Keyboard/Mouse,Webcam,Docking Station,Mobile Phone,Printer,Software License,Other"</formula1>
    </dataValidation>
    <dataValidation sqref="M2:M16" showDropDown="0" showInputMessage="0" showErrorMessage="0" allowBlank="1" type="list">
      <formula1>"Requested,Approved,Ordered,Shipped,Received,Cancelled"</formula1>
    </dataValidation>
    <dataValidation sqref="N2:N16" showDropDown="0" showInputMessage="0" showErrorMessage="0" allowBlank="1" type="list">
      <formula1>"Pending,Approved,Denied"</formula1>
    </dataValidation>
    <dataValidation sqref="Q2:Q16" showDropDown="0" showInputMessage="0" showErrorMessage="0" allowBlank="1" type="list">
      <formula1>"FedEx,UPS,USPS,DHL,Other"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2" customWidth="1" min="4" max="4"/>
    <col width="20" customWidth="1" min="5" max="5"/>
    <col width="14" customWidth="1" min="6" max="6"/>
    <col width="14" customWidth="1" min="7" max="7"/>
    <col width="15" customWidth="1" min="8" max="8"/>
    <col width="16" customWidth="1" min="9" max="9"/>
    <col width="18" customWidth="1" min="10" max="10"/>
    <col width="14" customWidth="1" min="11" max="11"/>
    <col width="12" customWidth="1" min="12" max="12"/>
    <col width="20" customWidth="1" min="13" max="13"/>
    <col width="10" customWidth="1" min="14" max="14"/>
    <col width="16" customWidth="1" min="15" max="15"/>
    <col width="15" customWidth="1" min="16" max="16"/>
    <col width="18" customWidth="1" min="17" max="17"/>
    <col width="20" customWidth="1" min="18" max="18"/>
    <col width="15" customWidth="1" min="19" max="19"/>
    <col width="20" customWidth="1" min="20" max="20"/>
    <col width="16" customWidth="1" min="21" max="21"/>
    <col width="13" customWidth="1" min="22" max="22"/>
    <col width="22" customWidth="1" min="23" max="23"/>
  </cols>
  <sheetData>
    <row r="1" ht="30" customHeight="1">
      <c r="A1" s="1" t="inlineStr">
        <is>
          <t>Employee Name</t>
        </is>
      </c>
      <c r="B1" s="1" t="inlineStr">
        <is>
          <t>Employee ID</t>
        </is>
      </c>
      <c r="C1" s="1" t="inlineStr">
        <is>
          <t>Position</t>
        </is>
      </c>
      <c r="D1" s="1" t="inlineStr">
        <is>
          <t>Start Date</t>
        </is>
      </c>
      <c r="E1" s="1" t="inlineStr">
        <is>
          <t>Kit Type</t>
        </is>
      </c>
      <c r="F1" s="1" t="inlineStr">
        <is>
          <t>Laptop Asset ID</t>
        </is>
      </c>
      <c r="G1" s="1" t="inlineStr">
        <is>
          <t>Monitor Asset ID</t>
        </is>
      </c>
      <c r="H1" s="1" t="inlineStr">
        <is>
          <t>Headset Asset ID</t>
        </is>
      </c>
      <c r="I1" s="1" t="inlineStr">
        <is>
          <t>CAC Reader Asset ID</t>
        </is>
      </c>
      <c r="J1" s="1" t="inlineStr">
        <is>
          <t>Other Equipment</t>
        </is>
      </c>
      <c r="K1" s="1" t="inlineStr">
        <is>
          <t>Kit Status</t>
        </is>
      </c>
      <c r="L1" s="1" t="inlineStr">
        <is>
          <t>Ship Date</t>
        </is>
      </c>
      <c r="M1" s="1" t="inlineStr">
        <is>
          <t>Tracking Number</t>
        </is>
      </c>
      <c r="N1" s="1" t="inlineStr">
        <is>
          <t>Carrier</t>
        </is>
      </c>
      <c r="O1" s="1" t="inlineStr">
        <is>
          <t>Expected Delivery</t>
        </is>
      </c>
      <c r="P1" s="1" t="inlineStr">
        <is>
          <t>Actual Delivery</t>
        </is>
      </c>
      <c r="Q1" s="1" t="inlineStr">
        <is>
          <t>Delivery Confirmed By</t>
        </is>
      </c>
      <c r="R1" s="1" t="inlineStr">
        <is>
          <t>Remote Workspace Verified</t>
        </is>
      </c>
      <c r="S1" s="1" t="inlineStr">
        <is>
          <t>VPN Configured</t>
        </is>
      </c>
      <c r="T1" s="1" t="inlineStr">
        <is>
          <t>All Software Installed</t>
        </is>
      </c>
      <c r="U1" s="1" t="inlineStr">
        <is>
          <t>Overall Readiness</t>
        </is>
      </c>
      <c r="V1" s="1" t="inlineStr">
        <is>
          <t>Days to Deploy</t>
        </is>
      </c>
      <c r="W1" s="1" t="inlineStr">
        <is>
          <t>Notes</t>
        </is>
      </c>
    </row>
    <row r="2">
      <c r="A2" s="2" t="inlineStr">
        <is>
          <t>Maria Santos</t>
        </is>
      </c>
      <c r="B2" s="2" t="inlineStr">
        <is>
          <t>EMP-1001</t>
        </is>
      </c>
      <c r="C2" s="2" t="inlineStr">
        <is>
          <t>Claims Examiner</t>
        </is>
      </c>
      <c r="D2" s="8" t="n">
        <v>46070</v>
      </c>
      <c r="E2" s="2" t="inlineStr">
        <is>
          <t>Standard Remote Kit</t>
        </is>
      </c>
      <c r="F2" s="2" t="inlineStr">
        <is>
          <t>AST-001</t>
        </is>
      </c>
      <c r="G2" s="2" t="inlineStr">
        <is>
          <t>AST-006</t>
        </is>
      </c>
      <c r="H2" s="2" t="inlineStr">
        <is>
          <t>AST-010</t>
        </is>
      </c>
      <c r="I2" s="2" t="inlineStr">
        <is>
          <t>AST-013</t>
        </is>
      </c>
      <c r="J2" s="2" t="inlineStr">
        <is>
          <t>KBM-001, WBC-001</t>
        </is>
      </c>
      <c r="K2" s="2" t="inlineStr">
        <is>
          <t>Verified</t>
        </is>
      </c>
      <c r="L2" s="8" t="n">
        <v>46063</v>
      </c>
      <c r="M2" s="2" t="inlineStr">
        <is>
          <t>1Z999AA10100001</t>
        </is>
      </c>
      <c r="N2" s="2" t="inlineStr">
        <is>
          <t>UPS</t>
        </is>
      </c>
      <c r="O2" s="8" t="n">
        <v>46067</v>
      </c>
      <c r="P2" s="8" t="n">
        <v>46066</v>
      </c>
      <c r="Q2" s="2" t="inlineStr">
        <is>
          <t>Maria Santos</t>
        </is>
      </c>
      <c r="R2" s="2" t="inlineStr">
        <is>
          <t>Yes</t>
        </is>
      </c>
      <c r="S2" s="2" t="inlineStr">
        <is>
          <t>Yes</t>
        </is>
      </c>
      <c r="T2" s="2" t="inlineStr">
        <is>
          <t>Yes</t>
        </is>
      </c>
      <c r="U2" s="2" t="inlineStr">
        <is>
          <t>Ready</t>
        </is>
      </c>
      <c r="V2" s="2">
        <f>IF(P2="","",P2-D2)</f>
        <v/>
      </c>
      <c r="W2" s="2" t="inlineStr"/>
    </row>
    <row r="3">
      <c r="A3" s="5" t="inlineStr">
        <is>
          <t>James Carter</t>
        </is>
      </c>
      <c r="B3" s="5" t="inlineStr">
        <is>
          <t>EMP-1002</t>
        </is>
      </c>
      <c r="C3" s="5" t="inlineStr">
        <is>
          <t>Claims Examiner</t>
        </is>
      </c>
      <c r="D3" s="9" t="n">
        <v>46070</v>
      </c>
      <c r="E3" s="5" t="inlineStr">
        <is>
          <t>Standard Remote Kit</t>
        </is>
      </c>
      <c r="F3" s="5" t="inlineStr">
        <is>
          <t>AST-002</t>
        </is>
      </c>
      <c r="G3" s="5" t="inlineStr">
        <is>
          <t>AST-007</t>
        </is>
      </c>
      <c r="H3" s="5" t="inlineStr">
        <is>
          <t>AST-011</t>
        </is>
      </c>
      <c r="I3" s="5" t="inlineStr">
        <is>
          <t>AST-014</t>
        </is>
      </c>
      <c r="J3" s="5" t="inlineStr">
        <is>
          <t>KBM-002</t>
        </is>
      </c>
      <c r="K3" s="5" t="inlineStr">
        <is>
          <t>Verified</t>
        </is>
      </c>
      <c r="L3" s="9" t="n">
        <v>46063</v>
      </c>
      <c r="M3" s="5" t="inlineStr">
        <is>
          <t>1Z999AA10100002</t>
        </is>
      </c>
      <c r="N3" s="5" t="inlineStr">
        <is>
          <t>UPS</t>
        </is>
      </c>
      <c r="O3" s="9" t="n">
        <v>46067</v>
      </c>
      <c r="P3" s="9" t="n">
        <v>46067</v>
      </c>
      <c r="Q3" s="5" t="inlineStr">
        <is>
          <t>James Carter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Ready</t>
        </is>
      </c>
      <c r="V3" s="5">
        <f>IF(P3="","",P3-D3)</f>
        <v/>
      </c>
      <c r="W3" s="5" t="inlineStr"/>
    </row>
    <row r="4">
      <c r="A4" s="2" t="inlineStr">
        <is>
          <t>Aisha Johnson</t>
        </is>
      </c>
      <c r="B4" s="2" t="inlineStr">
        <is>
          <t>EMP-1003</t>
        </is>
      </c>
      <c r="C4" s="2" t="inlineStr">
        <is>
          <t>Senior Claims Examiner</t>
        </is>
      </c>
      <c r="D4" s="8" t="n">
        <v>46049</v>
      </c>
      <c r="E4" s="2" t="inlineStr">
        <is>
          <t>Enhanced Remote Kit</t>
        </is>
      </c>
      <c r="F4" s="2" t="inlineStr">
        <is>
          <t>AST-004</t>
        </is>
      </c>
      <c r="G4" s="2" t="inlineStr"/>
      <c r="H4" s="2" t="inlineStr">
        <is>
          <t>AST-011</t>
        </is>
      </c>
      <c r="I4" s="2" t="inlineStr">
        <is>
          <t>AST-013</t>
        </is>
      </c>
      <c r="J4" s="2" t="inlineStr">
        <is>
          <t>DOC-001</t>
        </is>
      </c>
      <c r="K4" s="2" t="inlineStr">
        <is>
          <t>Verified</t>
        </is>
      </c>
      <c r="L4" s="8" t="n">
        <v>46040</v>
      </c>
      <c r="M4" s="2" t="inlineStr">
        <is>
          <t>1Z999AA10100003</t>
        </is>
      </c>
      <c r="N4" s="2" t="inlineStr">
        <is>
          <t>UPS</t>
        </is>
      </c>
      <c r="O4" s="8" t="n">
        <v>46044</v>
      </c>
      <c r="P4" s="8" t="n">
        <v>46043</v>
      </c>
      <c r="Q4" s="2" t="inlineStr">
        <is>
          <t>Aisha Johnson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Yes</t>
        </is>
      </c>
      <c r="U4" s="2" t="inlineStr">
        <is>
          <t>Ready</t>
        </is>
      </c>
      <c r="V4" s="2">
        <f>IF(P4="","",P4-D4)</f>
        <v/>
      </c>
      <c r="W4" s="2" t="inlineStr"/>
    </row>
    <row r="5">
      <c r="A5" s="5" t="inlineStr">
        <is>
          <t>David Kim</t>
        </is>
      </c>
      <c r="B5" s="5" t="inlineStr">
        <is>
          <t>EMP-1004</t>
        </is>
      </c>
      <c r="C5" s="5" t="inlineStr">
        <is>
          <t>Claims Examiner</t>
        </is>
      </c>
      <c r="D5" s="9" t="n">
        <v>46049</v>
      </c>
      <c r="E5" s="5" t="inlineStr">
        <is>
          <t>Standard Remote Kit</t>
        </is>
      </c>
      <c r="F5" s="5" t="inlineStr">
        <is>
          <t>AST-005</t>
        </is>
      </c>
      <c r="G5" s="5" t="inlineStr">
        <is>
          <t>AST-009</t>
        </is>
      </c>
      <c r="H5" s="5" t="inlineStr"/>
      <c r="I5" s="5" t="inlineStr">
        <is>
          <t>CAC-003</t>
        </is>
      </c>
      <c r="J5" s="5" t="inlineStr"/>
      <c r="K5" s="5" t="inlineStr">
        <is>
          <t>Verified</t>
        </is>
      </c>
      <c r="L5" s="9" t="n">
        <v>46042</v>
      </c>
      <c r="M5" s="5" t="inlineStr">
        <is>
          <t>1Z999AA10100004</t>
        </is>
      </c>
      <c r="N5" s="5" t="inlineStr">
        <is>
          <t>UPS</t>
        </is>
      </c>
      <c r="O5" s="9" t="n">
        <v>46046</v>
      </c>
      <c r="P5" s="9" t="n">
        <v>46045</v>
      </c>
      <c r="Q5" s="5" t="inlineStr">
        <is>
          <t>David Kim</t>
        </is>
      </c>
      <c r="R5" s="5" t="inlineStr">
        <is>
          <t>Yes</t>
        </is>
      </c>
      <c r="S5" s="5" t="inlineStr">
        <is>
          <t>Yes</t>
        </is>
      </c>
      <c r="T5" s="5" t="inlineStr">
        <is>
          <t>Yes</t>
        </is>
      </c>
      <c r="U5" s="5" t="inlineStr">
        <is>
          <t>Ready</t>
        </is>
      </c>
      <c r="V5" s="5">
        <f>IF(P5="","",P5-D5)</f>
        <v/>
      </c>
      <c r="W5" s="5" t="inlineStr">
        <is>
          <t>Separating 4/30</t>
        </is>
      </c>
    </row>
    <row r="6">
      <c r="A6" s="2" t="inlineStr">
        <is>
          <t>Robert Chen</t>
        </is>
      </c>
      <c r="B6" s="2" t="inlineStr">
        <is>
          <t>EMP-1005</t>
        </is>
      </c>
      <c r="C6" s="2" t="inlineStr">
        <is>
          <t>Supervisor</t>
        </is>
      </c>
      <c r="D6" s="8" t="n">
        <v>46034</v>
      </c>
      <c r="E6" s="2" t="inlineStr">
        <is>
          <t>Supervisor Kit</t>
        </is>
      </c>
      <c r="F6" s="2" t="inlineStr">
        <is>
          <t>AST-004</t>
        </is>
      </c>
      <c r="G6" s="2" t="inlineStr">
        <is>
          <t>AST-008</t>
        </is>
      </c>
      <c r="H6" s="2" t="inlineStr">
        <is>
          <t>AST-012</t>
        </is>
      </c>
      <c r="I6" s="2" t="inlineStr">
        <is>
          <t>CAC-002</t>
        </is>
      </c>
      <c r="J6" s="2" t="inlineStr">
        <is>
          <t>MPH-001, DOC-002</t>
        </is>
      </c>
      <c r="K6" s="2" t="inlineStr">
        <is>
          <t>Verified</t>
        </is>
      </c>
      <c r="L6" s="8" t="n">
        <v>46028</v>
      </c>
      <c r="M6" s="2" t="inlineStr">
        <is>
          <t>1Z999AA10100005</t>
        </is>
      </c>
      <c r="N6" s="2" t="inlineStr">
        <is>
          <t>FedEx</t>
        </is>
      </c>
      <c r="O6" s="8" t="n">
        <v>46032</v>
      </c>
      <c r="P6" s="8" t="n">
        <v>46031</v>
      </c>
      <c r="Q6" s="2" t="inlineStr">
        <is>
          <t>Robert Chen</t>
        </is>
      </c>
      <c r="R6" s="2" t="inlineStr">
        <is>
          <t>Yes</t>
        </is>
      </c>
      <c r="S6" s="2" t="inlineStr">
        <is>
          <t>Yes</t>
        </is>
      </c>
      <c r="T6" s="2" t="inlineStr">
        <is>
          <t>Yes</t>
        </is>
      </c>
      <c r="U6" s="2" t="inlineStr">
        <is>
          <t>Ready</t>
        </is>
      </c>
      <c r="V6" s="2">
        <f>IF(P6="","",P6-D6)</f>
        <v/>
      </c>
      <c r="W6" s="2" t="inlineStr"/>
    </row>
    <row r="7">
      <c r="A7" s="5" t="inlineStr">
        <is>
          <t>Sarah Williams</t>
        </is>
      </c>
      <c r="B7" s="5" t="inlineStr">
        <is>
          <t>EMP-1006</t>
        </is>
      </c>
      <c r="C7" s="5" t="inlineStr">
        <is>
          <t>IT Support Lead</t>
        </is>
      </c>
      <c r="D7" s="9" t="n">
        <v>45870</v>
      </c>
      <c r="E7" s="5" t="inlineStr">
        <is>
          <t>Enhanced Remote Kit</t>
        </is>
      </c>
      <c r="F7" s="5" t="inlineStr">
        <is>
          <t>AST-004</t>
        </is>
      </c>
      <c r="G7" s="5" t="inlineStr">
        <is>
          <t>AST-008</t>
        </is>
      </c>
      <c r="H7" s="5" t="inlineStr">
        <is>
          <t>AST-012</t>
        </is>
      </c>
      <c r="I7" s="5" t="inlineStr">
        <is>
          <t>CAC-003</t>
        </is>
      </c>
      <c r="J7" s="5" t="inlineStr">
        <is>
          <t>PRT-001</t>
        </is>
      </c>
      <c r="K7" s="5" t="inlineStr">
        <is>
          <t>Verified</t>
        </is>
      </c>
      <c r="L7" s="9" t="n">
        <v>45863</v>
      </c>
      <c r="M7" s="5" t="inlineStr">
        <is>
          <t>1Z999AA10100006</t>
        </is>
      </c>
      <c r="N7" s="5" t="inlineStr">
        <is>
          <t>UPS</t>
        </is>
      </c>
      <c r="O7" s="9" t="n">
        <v>45868</v>
      </c>
      <c r="P7" s="9" t="n">
        <v>45867</v>
      </c>
      <c r="Q7" s="5" t="inlineStr">
        <is>
          <t>Sarah Williams</t>
        </is>
      </c>
      <c r="R7" s="5" t="inlineStr">
        <is>
          <t>Yes</t>
        </is>
      </c>
      <c r="S7" s="5" t="inlineStr">
        <is>
          <t>Yes</t>
        </is>
      </c>
      <c r="T7" s="5" t="inlineStr">
        <is>
          <t>Yes</t>
        </is>
      </c>
      <c r="U7" s="5" t="inlineStr">
        <is>
          <t>Ready</t>
        </is>
      </c>
      <c r="V7" s="5">
        <f>IF(P7="","",P7-D7)</f>
        <v/>
      </c>
      <c r="W7" s="5" t="inlineStr"/>
    </row>
    <row r="8">
      <c r="A8" s="2" t="inlineStr">
        <is>
          <t>Lisa Park</t>
        </is>
      </c>
      <c r="B8" s="2" t="inlineStr">
        <is>
          <t>EMP-1007</t>
        </is>
      </c>
      <c r="C8" s="2" t="inlineStr">
        <is>
          <t>Claims Examiner</t>
        </is>
      </c>
      <c r="D8" s="8" t="n">
        <v>46083</v>
      </c>
      <c r="E8" s="2" t="inlineStr">
        <is>
          <t>Standard Remote Kit</t>
        </is>
      </c>
      <c r="F8" s="2" t="inlineStr">
        <is>
          <t>AST-025</t>
        </is>
      </c>
      <c r="G8" s="2" t="inlineStr"/>
      <c r="H8" s="2" t="inlineStr"/>
      <c r="I8" s="2" t="inlineStr"/>
      <c r="J8" s="2" t="inlineStr"/>
      <c r="K8" s="2" t="inlineStr">
        <is>
          <t>Shipped</t>
        </is>
      </c>
      <c r="L8" s="8" t="n">
        <v>46078</v>
      </c>
      <c r="M8" s="2" t="inlineStr">
        <is>
          <t>1Z999AA10100007</t>
        </is>
      </c>
      <c r="N8" s="2" t="inlineStr">
        <is>
          <t>UPS</t>
        </is>
      </c>
      <c r="O8" s="8" t="n">
        <v>46082</v>
      </c>
      <c r="P8" s="8" t="n"/>
      <c r="Q8" s="2" t="inlineStr"/>
      <c r="R8" s="2" t="inlineStr">
        <is>
          <t>Pending</t>
        </is>
      </c>
      <c r="S8" s="2" t="inlineStr">
        <is>
          <t>Pending</t>
        </is>
      </c>
      <c r="T8" s="2" t="inlineStr">
        <is>
          <t>Pending</t>
        </is>
      </c>
      <c r="U8" s="2" t="inlineStr">
        <is>
          <t>Not Ready</t>
        </is>
      </c>
      <c r="V8" s="2">
        <f>IF(P8="","",P8-D8)</f>
        <v/>
      </c>
      <c r="W8" s="2" t="inlineStr">
        <is>
          <t>Awaiting delivery</t>
        </is>
      </c>
    </row>
    <row r="9">
      <c r="A9" s="5" t="inlineStr">
        <is>
          <t>Michael Brown</t>
        </is>
      </c>
      <c r="B9" s="5" t="inlineStr">
        <is>
          <t>EMP-1008</t>
        </is>
      </c>
      <c r="C9" s="5" t="inlineStr">
        <is>
          <t>Claims Examiner</t>
        </is>
      </c>
      <c r="D9" s="9" t="n">
        <v>46083</v>
      </c>
      <c r="E9" s="5" t="inlineStr">
        <is>
          <t>Standard Remote Kit</t>
        </is>
      </c>
      <c r="F9" s="5" t="inlineStr"/>
      <c r="G9" s="5" t="inlineStr"/>
      <c r="H9" s="5" t="inlineStr"/>
      <c r="I9" s="5" t="inlineStr"/>
      <c r="J9" s="5" t="inlineStr"/>
      <c r="K9" s="5" t="inlineStr">
        <is>
          <t>Assembling</t>
        </is>
      </c>
      <c r="L9" s="9" t="n"/>
      <c r="M9" s="5" t="inlineStr"/>
      <c r="N9" s="5" t="inlineStr"/>
      <c r="O9" s="9" t="n"/>
      <c r="P9" s="9" t="n"/>
      <c r="Q9" s="5" t="inlineStr"/>
      <c r="R9" s="5" t="inlineStr">
        <is>
          <t>Pending</t>
        </is>
      </c>
      <c r="S9" s="5" t="inlineStr">
        <is>
          <t>No</t>
        </is>
      </c>
      <c r="T9" s="5" t="inlineStr">
        <is>
          <t>No</t>
        </is>
      </c>
      <c r="U9" s="5" t="inlineStr">
        <is>
          <t>Not Ready</t>
        </is>
      </c>
      <c r="V9" s="5">
        <f>IF(P9="","",P9-D9)</f>
        <v/>
      </c>
      <c r="W9" s="5" t="inlineStr">
        <is>
          <t>Kit being assembled</t>
        </is>
      </c>
    </row>
    <row r="10">
      <c r="A10" s="2" t="inlineStr">
        <is>
          <t>Jennifer Liu</t>
        </is>
      </c>
      <c r="B10" s="2" t="inlineStr">
        <is>
          <t>EMP-1009</t>
        </is>
      </c>
      <c r="C10" s="2" t="inlineStr">
        <is>
          <t>Claims Examiner</t>
        </is>
      </c>
      <c r="D10" s="8" t="n">
        <v>46090</v>
      </c>
      <c r="E10" s="2" t="inlineStr">
        <is>
          <t>Standard Remote Kit</t>
        </is>
      </c>
      <c r="F10" s="2" t="inlineStr"/>
      <c r="G10" s="2" t="inlineStr"/>
      <c r="H10" s="2" t="inlineStr"/>
      <c r="I10" s="2" t="inlineStr"/>
      <c r="J10" s="2" t="inlineStr"/>
      <c r="K10" s="2" t="inlineStr">
        <is>
          <t>Not Started</t>
        </is>
      </c>
      <c r="L10" s="8" t="n"/>
      <c r="M10" s="2" t="inlineStr"/>
      <c r="N10" s="2" t="inlineStr"/>
      <c r="O10" s="8" t="n"/>
      <c r="P10" s="8" t="n"/>
      <c r="Q10" s="2" t="inlineStr"/>
      <c r="R10" s="2" t="inlineStr">
        <is>
          <t>Pending</t>
        </is>
      </c>
      <c r="S10" s="2" t="inlineStr">
        <is>
          <t>No</t>
        </is>
      </c>
      <c r="T10" s="2" t="inlineStr">
        <is>
          <t>No</t>
        </is>
      </c>
      <c r="U10" s="2" t="inlineStr">
        <is>
          <t>Not Ready</t>
        </is>
      </c>
      <c r="V10" s="2">
        <f>IF(P10="","",P10-D10)</f>
        <v/>
      </c>
      <c r="W10" s="2" t="inlineStr">
        <is>
          <t>New hire wave 3</t>
        </is>
      </c>
    </row>
    <row r="11">
      <c r="A11" s="5" t="inlineStr">
        <is>
          <t>Carlos Rodriguez</t>
        </is>
      </c>
      <c r="B11" s="5" t="inlineStr">
        <is>
          <t>EMP-1010</t>
        </is>
      </c>
      <c r="C11" s="5" t="inlineStr">
        <is>
          <t>Claims Examiner</t>
        </is>
      </c>
      <c r="D11" s="9" t="n">
        <v>46090</v>
      </c>
      <c r="E11" s="5" t="inlineStr">
        <is>
          <t>Standard Remote Kit</t>
        </is>
      </c>
      <c r="F11" s="5" t="inlineStr"/>
      <c r="G11" s="5" t="inlineStr"/>
      <c r="H11" s="5" t="inlineStr"/>
      <c r="I11" s="5" t="inlineStr"/>
      <c r="J11" s="5" t="inlineStr"/>
      <c r="K11" s="5" t="inlineStr">
        <is>
          <t>Not Started</t>
        </is>
      </c>
      <c r="L11" s="9" t="n"/>
      <c r="M11" s="5" t="inlineStr"/>
      <c r="N11" s="5" t="inlineStr"/>
      <c r="O11" s="9" t="n"/>
      <c r="P11" s="9" t="n"/>
      <c r="Q11" s="5" t="inlineStr"/>
      <c r="R11" s="5" t="inlineStr">
        <is>
          <t>Pending</t>
        </is>
      </c>
      <c r="S11" s="5" t="inlineStr">
        <is>
          <t>No</t>
        </is>
      </c>
      <c r="T11" s="5" t="inlineStr">
        <is>
          <t>No</t>
        </is>
      </c>
      <c r="U11" s="5" t="inlineStr">
        <is>
          <t>Not Ready</t>
        </is>
      </c>
      <c r="V11" s="5">
        <f>IF(P11="","",P11-D11)</f>
        <v/>
      </c>
      <c r="W11" s="5" t="inlineStr">
        <is>
          <t>New hire wave 3</t>
        </is>
      </c>
    </row>
    <row r="12">
      <c r="A12" s="2" t="inlineStr">
        <is>
          <t>Emma Thompson</t>
        </is>
      </c>
      <c r="B12" s="2" t="inlineStr">
        <is>
          <t>EMP-1011</t>
        </is>
      </c>
      <c r="C12" s="2" t="inlineStr">
        <is>
          <t>Senior Claims Examiner</t>
        </is>
      </c>
      <c r="D12" s="8" t="n">
        <v>46097</v>
      </c>
      <c r="E12" s="2" t="inlineStr">
        <is>
          <t>Enhanced Remote Kit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Not Started</t>
        </is>
      </c>
      <c r="L12" s="8" t="n"/>
      <c r="M12" s="2" t="inlineStr"/>
      <c r="N12" s="2" t="inlineStr"/>
      <c r="O12" s="8" t="n"/>
      <c r="P12" s="8" t="n"/>
      <c r="Q12" s="2" t="inlineStr"/>
      <c r="R12" s="2" t="inlineStr">
        <is>
          <t>No</t>
        </is>
      </c>
      <c r="S12" s="2" t="inlineStr">
        <is>
          <t>No</t>
        </is>
      </c>
      <c r="T12" s="2" t="inlineStr">
        <is>
          <t>No</t>
        </is>
      </c>
      <c r="U12" s="2" t="inlineStr">
        <is>
          <t>Not Ready</t>
        </is>
      </c>
      <c r="V12" s="2">
        <f>IF(P12="","",P12-D12)</f>
        <v/>
      </c>
      <c r="W12" s="2" t="inlineStr"/>
    </row>
    <row r="13">
      <c r="A13" s="5" t="inlineStr">
        <is>
          <t>Ahmed Hassan</t>
        </is>
      </c>
      <c r="B13" s="5" t="inlineStr">
        <is>
          <t>EMP-1012</t>
        </is>
      </c>
      <c r="C13" s="5" t="inlineStr">
        <is>
          <t>Claims Examiner</t>
        </is>
      </c>
      <c r="D13" s="9" t="n">
        <v>46097</v>
      </c>
      <c r="E13" s="5" t="inlineStr">
        <is>
          <t>Standard Remote Kit</t>
        </is>
      </c>
      <c r="F13" s="5" t="inlineStr"/>
      <c r="G13" s="5" t="inlineStr"/>
      <c r="H13" s="5" t="inlineStr"/>
      <c r="I13" s="5" t="inlineStr"/>
      <c r="J13" s="5" t="inlineStr"/>
      <c r="K13" s="5" t="inlineStr">
        <is>
          <t>Not Started</t>
        </is>
      </c>
      <c r="L13" s="9" t="n"/>
      <c r="M13" s="5" t="inlineStr"/>
      <c r="N13" s="5" t="inlineStr"/>
      <c r="O13" s="9" t="n"/>
      <c r="P13" s="9" t="n"/>
      <c r="Q13" s="5" t="inlineStr"/>
      <c r="R13" s="5" t="inlineStr">
        <is>
          <t>Pending</t>
        </is>
      </c>
      <c r="S13" s="5" t="inlineStr">
        <is>
          <t>No</t>
        </is>
      </c>
      <c r="T13" s="5" t="inlineStr">
        <is>
          <t>No</t>
        </is>
      </c>
      <c r="U13" s="5" t="inlineStr">
        <is>
          <t>Not Ready</t>
        </is>
      </c>
      <c r="V13" s="5">
        <f>IF(P13="","",P13-D13)</f>
        <v/>
      </c>
      <c r="W13" s="5" t="inlineStr"/>
    </row>
    <row r="14">
      <c r="A14" s="2" t="inlineStr">
        <is>
          <t>Rachel Green</t>
        </is>
      </c>
      <c r="B14" s="2" t="inlineStr">
        <is>
          <t>EMP-1013</t>
        </is>
      </c>
      <c r="C14" s="2" t="inlineStr">
        <is>
          <t>Claims Examiner</t>
        </is>
      </c>
      <c r="D14" s="8" t="n">
        <v>46104</v>
      </c>
      <c r="E14" s="2" t="inlineStr">
        <is>
          <t>Standard Remote Kit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Not Started</t>
        </is>
      </c>
      <c r="L14" s="8" t="n"/>
      <c r="M14" s="2" t="inlineStr"/>
      <c r="N14" s="2" t="inlineStr"/>
      <c r="O14" s="8" t="n"/>
      <c r="P14" s="8" t="n"/>
      <c r="Q14" s="2" t="inlineStr"/>
      <c r="R14" s="2" t="inlineStr">
        <is>
          <t>Pending</t>
        </is>
      </c>
      <c r="S14" s="2" t="inlineStr">
        <is>
          <t>No</t>
        </is>
      </c>
      <c r="T14" s="2" t="inlineStr">
        <is>
          <t>No</t>
        </is>
      </c>
      <c r="U14" s="2" t="inlineStr">
        <is>
          <t>Not Ready</t>
        </is>
      </c>
      <c r="V14" s="2">
        <f>IF(P14="","",P14-D14)</f>
        <v/>
      </c>
      <c r="W14" s="2" t="inlineStr"/>
    </row>
    <row r="15">
      <c r="A15" s="5" t="inlineStr">
        <is>
          <t>Tom Reed</t>
        </is>
      </c>
      <c r="B15" s="5" t="inlineStr">
        <is>
          <t>EMP-1014</t>
        </is>
      </c>
      <c r="C15" s="5" t="inlineStr">
        <is>
          <t>Claims Examiner</t>
        </is>
      </c>
      <c r="D15" s="9" t="n">
        <v>46037</v>
      </c>
      <c r="E15" s="5" t="inlineStr">
        <is>
          <t>Standard Remote Kit</t>
        </is>
      </c>
      <c r="F15" s="5" t="inlineStr">
        <is>
          <t>AST-005</t>
        </is>
      </c>
      <c r="G15" s="5" t="inlineStr">
        <is>
          <t>AST-009</t>
        </is>
      </c>
      <c r="H15" s="5" t="inlineStr">
        <is>
          <t>AST-012</t>
        </is>
      </c>
      <c r="I15" s="5" t="inlineStr">
        <is>
          <t>CAC-003</t>
        </is>
      </c>
      <c r="J15" s="5" t="inlineStr"/>
      <c r="K15" s="5" t="inlineStr">
        <is>
          <t>Verified</t>
        </is>
      </c>
      <c r="L15" s="9" t="n">
        <v>46030</v>
      </c>
      <c r="M15" s="5" t="inlineStr">
        <is>
          <t>1Z999AA10100014</t>
        </is>
      </c>
      <c r="N15" s="5" t="inlineStr">
        <is>
          <t>UPS</t>
        </is>
      </c>
      <c r="O15" s="9" t="n">
        <v>46034</v>
      </c>
      <c r="P15" s="9" t="n">
        <v>46034</v>
      </c>
      <c r="Q15" s="5" t="inlineStr">
        <is>
          <t>Tom Reed</t>
        </is>
      </c>
      <c r="R15" s="5" t="inlineStr">
        <is>
          <t>Yes</t>
        </is>
      </c>
      <c r="S15" s="5" t="inlineStr">
        <is>
          <t>Yes</t>
        </is>
      </c>
      <c r="T15" s="5" t="inlineStr">
        <is>
          <t>Yes</t>
        </is>
      </c>
      <c r="U15" s="5" t="inlineStr">
        <is>
          <t>Ready</t>
        </is>
      </c>
      <c r="V15" s="5">
        <f>IF(P15="","",P15-D15)</f>
        <v/>
      </c>
      <c r="W15" s="5" t="inlineStr">
        <is>
          <t>Separated 3/15</t>
        </is>
      </c>
    </row>
    <row r="16">
      <c r="A16" s="2" t="inlineStr">
        <is>
          <t>Nina Patel</t>
        </is>
      </c>
      <c r="B16" s="2" t="inlineStr">
        <is>
          <t>EMP-1015</t>
        </is>
      </c>
      <c r="C16" s="2" t="inlineStr">
        <is>
          <t>Claims Examiner</t>
        </is>
      </c>
      <c r="D16" s="8" t="n">
        <v>46111</v>
      </c>
      <c r="E16" s="2" t="inlineStr">
        <is>
          <t>Standard Remote Kit</t>
        </is>
      </c>
      <c r="F16" s="2" t="inlineStr"/>
      <c r="G16" s="2" t="inlineStr"/>
      <c r="H16" s="2" t="inlineStr"/>
      <c r="I16" s="2" t="inlineStr"/>
      <c r="J16" s="2" t="inlineStr"/>
      <c r="K16" s="2" t="inlineStr">
        <is>
          <t>Not Started</t>
        </is>
      </c>
      <c r="L16" s="8" t="n"/>
      <c r="M16" s="2" t="inlineStr"/>
      <c r="N16" s="2" t="inlineStr"/>
      <c r="O16" s="8" t="n"/>
      <c r="P16" s="8" t="n"/>
      <c r="Q16" s="2" t="inlineStr"/>
      <c r="R16" s="2" t="inlineStr">
        <is>
          <t>Pending</t>
        </is>
      </c>
      <c r="S16" s="2" t="inlineStr">
        <is>
          <t>No</t>
        </is>
      </c>
      <c r="T16" s="2" t="inlineStr">
        <is>
          <t>No</t>
        </is>
      </c>
      <c r="U16" s="2" t="inlineStr">
        <is>
          <t>Not Ready</t>
        </is>
      </c>
      <c r="V16" s="2">
        <f>IF(P16="","",P16-D16)</f>
        <v/>
      </c>
      <c r="W16" s="2" t="inlineStr"/>
    </row>
    <row r="17">
      <c r="A17" s="5" t="inlineStr">
        <is>
          <t>Brian Scott</t>
        </is>
      </c>
      <c r="B17" s="5" t="inlineStr">
        <is>
          <t>EMP-1016</t>
        </is>
      </c>
      <c r="C17" s="5" t="inlineStr">
        <is>
          <t>Supervisor</t>
        </is>
      </c>
      <c r="D17" s="9" t="n">
        <v>46118</v>
      </c>
      <c r="E17" s="5" t="inlineStr">
        <is>
          <t>Supervisor Kit</t>
        </is>
      </c>
      <c r="F17" s="5" t="inlineStr"/>
      <c r="G17" s="5" t="inlineStr"/>
      <c r="H17" s="5" t="inlineStr"/>
      <c r="I17" s="5" t="inlineStr"/>
      <c r="J17" s="5" t="inlineStr"/>
      <c r="K17" s="5" t="inlineStr">
        <is>
          <t>Not Started</t>
        </is>
      </c>
      <c r="L17" s="9" t="n"/>
      <c r="M17" s="5" t="inlineStr"/>
      <c r="N17" s="5" t="inlineStr"/>
      <c r="O17" s="9" t="n"/>
      <c r="P17" s="9" t="n"/>
      <c r="Q17" s="5" t="inlineStr"/>
      <c r="R17" s="5" t="inlineStr">
        <is>
          <t>No</t>
        </is>
      </c>
      <c r="S17" s="5" t="inlineStr">
        <is>
          <t>No</t>
        </is>
      </c>
      <c r="T17" s="5" t="inlineStr">
        <is>
          <t>No</t>
        </is>
      </c>
      <c r="U17" s="5" t="inlineStr">
        <is>
          <t>Not Ready</t>
        </is>
      </c>
      <c r="V17" s="5">
        <f>IF(P17="","",P17-D17)</f>
        <v/>
      </c>
      <c r="W17" s="5" t="inlineStr"/>
    </row>
    <row r="18">
      <c r="A18" s="2" t="inlineStr">
        <is>
          <t>Diana Foster</t>
        </is>
      </c>
      <c r="B18" s="2" t="inlineStr">
        <is>
          <t>EMP-1017</t>
        </is>
      </c>
      <c r="C18" s="2" t="inlineStr">
        <is>
          <t>Claims Examiner</t>
        </is>
      </c>
      <c r="D18" s="8" t="n">
        <v>46118</v>
      </c>
      <c r="E18" s="2" t="inlineStr">
        <is>
          <t>Standard Remote Kit</t>
        </is>
      </c>
      <c r="F18" s="2" t="inlineStr"/>
      <c r="G18" s="2" t="inlineStr"/>
      <c r="H18" s="2" t="inlineStr"/>
      <c r="I18" s="2" t="inlineStr"/>
      <c r="J18" s="2" t="inlineStr"/>
      <c r="K18" s="2" t="inlineStr">
        <is>
          <t>Not Started</t>
        </is>
      </c>
      <c r="L18" s="8" t="n"/>
      <c r="M18" s="2" t="inlineStr"/>
      <c r="N18" s="2" t="inlineStr"/>
      <c r="O18" s="8" t="n"/>
      <c r="P18" s="8" t="n"/>
      <c r="Q18" s="2" t="inlineStr"/>
      <c r="R18" s="2" t="inlineStr">
        <is>
          <t>Pending</t>
        </is>
      </c>
      <c r="S18" s="2" t="inlineStr">
        <is>
          <t>No</t>
        </is>
      </c>
      <c r="T18" s="2" t="inlineStr">
        <is>
          <t>No</t>
        </is>
      </c>
      <c r="U18" s="2" t="inlineStr">
        <is>
          <t>Not Ready</t>
        </is>
      </c>
      <c r="V18" s="2">
        <f>IF(P18="","",P18-D18)</f>
        <v/>
      </c>
      <c r="W18" s="2" t="inlineStr"/>
    </row>
    <row r="19">
      <c r="A19" s="5" t="inlineStr">
        <is>
          <t>Kevin Wright</t>
        </is>
      </c>
      <c r="B19" s="5" t="inlineStr">
        <is>
          <t>EMP-1018</t>
        </is>
      </c>
      <c r="C19" s="5" t="inlineStr">
        <is>
          <t>Claims Examiner</t>
        </is>
      </c>
      <c r="D19" s="9" t="n">
        <v>46125</v>
      </c>
      <c r="E19" s="5" t="inlineStr">
        <is>
          <t>Standard Remote Kit</t>
        </is>
      </c>
      <c r="F19" s="5" t="inlineStr"/>
      <c r="G19" s="5" t="inlineStr"/>
      <c r="H19" s="5" t="inlineStr"/>
      <c r="I19" s="5" t="inlineStr"/>
      <c r="J19" s="5" t="inlineStr"/>
      <c r="K19" s="5" t="inlineStr">
        <is>
          <t>Not Started</t>
        </is>
      </c>
      <c r="L19" s="9" t="n"/>
      <c r="M19" s="5" t="inlineStr"/>
      <c r="N19" s="5" t="inlineStr"/>
      <c r="O19" s="9" t="n"/>
      <c r="P19" s="9" t="n"/>
      <c r="Q19" s="5" t="inlineStr"/>
      <c r="R19" s="5" t="inlineStr">
        <is>
          <t>Pending</t>
        </is>
      </c>
      <c r="S19" s="5" t="inlineStr">
        <is>
          <t>No</t>
        </is>
      </c>
      <c r="T19" s="5" t="inlineStr">
        <is>
          <t>No</t>
        </is>
      </c>
      <c r="U19" s="5" t="inlineStr">
        <is>
          <t>Not Ready</t>
        </is>
      </c>
      <c r="V19" s="5">
        <f>IF(P19="","",P19-D19)</f>
        <v/>
      </c>
      <c r="W19" s="5" t="inlineStr"/>
    </row>
    <row r="20">
      <c r="A20" s="2" t="inlineStr">
        <is>
          <t>Laura Martinez</t>
        </is>
      </c>
      <c r="B20" s="2" t="inlineStr">
        <is>
          <t>EMP-1019</t>
        </is>
      </c>
      <c r="C20" s="2" t="inlineStr">
        <is>
          <t>Senior Claims Examiner</t>
        </is>
      </c>
      <c r="D20" s="8" t="n">
        <v>46125</v>
      </c>
      <c r="E20" s="2" t="inlineStr">
        <is>
          <t>Enhanced Remote Kit</t>
        </is>
      </c>
      <c r="F20" s="2" t="inlineStr"/>
      <c r="G20" s="2" t="inlineStr"/>
      <c r="H20" s="2" t="inlineStr"/>
      <c r="I20" s="2" t="inlineStr"/>
      <c r="J20" s="2" t="inlineStr"/>
      <c r="K20" s="2" t="inlineStr">
        <is>
          <t>Not Started</t>
        </is>
      </c>
      <c r="L20" s="8" t="n"/>
      <c r="M20" s="2" t="inlineStr"/>
      <c r="N20" s="2" t="inlineStr"/>
      <c r="O20" s="8" t="n"/>
      <c r="P20" s="8" t="n"/>
      <c r="Q20" s="2" t="inlineStr"/>
      <c r="R20" s="2" t="inlineStr">
        <is>
          <t>No</t>
        </is>
      </c>
      <c r="S20" s="2" t="inlineStr">
        <is>
          <t>No</t>
        </is>
      </c>
      <c r="T20" s="2" t="inlineStr">
        <is>
          <t>No</t>
        </is>
      </c>
      <c r="U20" s="2" t="inlineStr">
        <is>
          <t>Not Ready</t>
        </is>
      </c>
      <c r="V20" s="2">
        <f>IF(P20="","",P20-D20)</f>
        <v/>
      </c>
      <c r="W20" s="2" t="inlineStr"/>
    </row>
    <row r="21">
      <c r="A21" s="5" t="inlineStr">
        <is>
          <t>Jason Lee</t>
        </is>
      </c>
      <c r="B21" s="5" t="inlineStr">
        <is>
          <t>EMP-1020</t>
        </is>
      </c>
      <c r="C21" s="5" t="inlineStr">
        <is>
          <t>Claims Examiner</t>
        </is>
      </c>
      <c r="D21" s="9" t="n">
        <v>46132</v>
      </c>
      <c r="E21" s="5" t="inlineStr">
        <is>
          <t>Standard Remote Kit</t>
        </is>
      </c>
      <c r="F21" s="5" t="inlineStr"/>
      <c r="G21" s="5" t="inlineStr"/>
      <c r="H21" s="5" t="inlineStr"/>
      <c r="I21" s="5" t="inlineStr"/>
      <c r="J21" s="5" t="inlineStr"/>
      <c r="K21" s="5" t="inlineStr">
        <is>
          <t>Not Started</t>
        </is>
      </c>
      <c r="L21" s="9" t="n"/>
      <c r="M21" s="5" t="inlineStr"/>
      <c r="N21" s="5" t="inlineStr"/>
      <c r="O21" s="9" t="n"/>
      <c r="P21" s="9" t="n"/>
      <c r="Q21" s="5" t="inlineStr"/>
      <c r="R21" s="5" t="inlineStr">
        <is>
          <t>Pending</t>
        </is>
      </c>
      <c r="S21" s="5" t="inlineStr">
        <is>
          <t>No</t>
        </is>
      </c>
      <c r="T21" s="5" t="inlineStr">
        <is>
          <t>No</t>
        </is>
      </c>
      <c r="U21" s="5" t="inlineStr">
        <is>
          <t>Not Ready</t>
        </is>
      </c>
      <c r="V21" s="5">
        <f>IF(P21="","",P21-D21)</f>
        <v/>
      </c>
      <c r="W21" s="5" t="inlineStr">
        <is>
          <t>Starting today</t>
        </is>
      </c>
    </row>
  </sheetData>
  <conditionalFormatting sqref="U2:U21">
    <cfRule type="cellIs" priority="1" operator="equal" dxfId="2">
      <formula>"Ready"</formula>
    </cfRule>
    <cfRule type="cellIs" priority="2" operator="equal" dxfId="1">
      <formula>"Partial"</formula>
    </cfRule>
    <cfRule type="cellIs" priority="3" operator="equal" dxfId="0">
      <formula>"Not Ready"</formula>
    </cfRule>
  </conditionalFormatting>
  <conditionalFormatting sqref="K2:K21">
    <cfRule type="cellIs" priority="4" operator="equal" dxfId="2">
      <formula>"Verified"</formula>
    </cfRule>
    <cfRule type="cellIs" priority="5" operator="equal" dxfId="1">
      <formula>"Shipped"</formula>
    </cfRule>
    <cfRule type="cellIs" priority="6" operator="equal" dxfId="0">
      <formula>"Not Started"</formula>
    </cfRule>
  </conditionalFormatting>
  <dataValidations count="7">
    <dataValidation sqref="E2:E21" showDropDown="0" showInputMessage="0" showErrorMessage="0" allowBlank="1" type="list">
      <formula1>"Standard Remote Kit,Enhanced Remote Kit,Supervisor Kit,Custom"</formula1>
    </dataValidation>
    <dataValidation sqref="K2:K21" showDropDown="0" showInputMessage="0" showErrorMessage="0" allowBlank="1" type="list">
      <formula1>"Not Started,Assembling,Ready to Ship,Shipped,Delivered,Verified,Issue Reported"</formula1>
    </dataValidation>
    <dataValidation sqref="N2:N21" showDropDown="0" showInputMessage="0" showErrorMessage="0" allowBlank="1" type="list">
      <formula1>"FedEx,UPS,USPS,DHL,Other"</formula1>
    </dataValidation>
    <dataValidation sqref="R2:R21" showDropDown="0" showInputMessage="0" showErrorMessage="0" allowBlank="1" type="list">
      <formula1>"Yes,No,Pending"</formula1>
    </dataValidation>
    <dataValidation sqref="S2:S21" showDropDown="0" showInputMessage="0" showErrorMessage="0" allowBlank="1" type="list">
      <formula1>"Yes,No,Pending"</formula1>
    </dataValidation>
    <dataValidation sqref="T2:T21" showDropDown="0" showInputMessage="0" showErrorMessage="0" allowBlank="1" type="list">
      <formula1>"Yes,No,Pending"</formula1>
    </dataValidation>
    <dataValidation sqref="U2:U21" showDropDown="0" showInputMessage="0" showErrorMessage="0" allowBlank="1" type="list">
      <formula1>"Ready,Partial,Not Ready"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8" customWidth="1" min="4" max="4"/>
    <col width="15" customWidth="1" min="5" max="5"/>
    <col width="30" customWidth="1" min="6" max="6"/>
    <col width="14" customWidth="1" min="7" max="7"/>
    <col width="22" customWidth="1" min="8" max="8"/>
    <col width="22" customWidth="1" min="9" max="9"/>
    <col width="10" customWidth="1" min="10" max="10"/>
    <col width="18" customWidth="1" min="11" max="11"/>
    <col width="30" customWidth="1" min="12" max="12"/>
    <col width="16" customWidth="1" min="13" max="13"/>
    <col width="16" customWidth="1" min="14" max="14"/>
    <col width="16" customWidth="1" min="15" max="15"/>
    <col width="14" customWidth="1" min="16" max="16"/>
    <col width="12" customWidth="1" min="17" max="17"/>
    <col width="12" customWidth="1" min="18" max="18"/>
    <col width="35" customWidth="1" min="19" max="19"/>
  </cols>
  <sheetData>
    <row r="1" ht="30" customHeight="1">
      <c r="A1" s="1" t="inlineStr">
        <is>
          <t>Employee Name</t>
        </is>
      </c>
      <c r="B1" s="1" t="inlineStr">
        <is>
          <t>Employee ID</t>
        </is>
      </c>
      <c r="C1" s="1" t="inlineStr">
        <is>
          <t>Separation Date</t>
        </is>
      </c>
      <c r="D1" s="1" t="inlineStr">
        <is>
          <t>Return Initiated Date</t>
        </is>
      </c>
      <c r="E1" s="1" t="inlineStr">
        <is>
          <t>Return Deadline</t>
        </is>
      </c>
      <c r="F1" s="1" t="inlineStr">
        <is>
          <t>Assets to Return</t>
        </is>
      </c>
      <c r="G1" s="1" t="inlineStr">
        <is>
          <t>Return Kit Sent</t>
        </is>
      </c>
      <c r="H1" s="1" t="inlineStr">
        <is>
          <t>Return Shipping Label Sent</t>
        </is>
      </c>
      <c r="I1" s="1" t="inlineStr">
        <is>
          <t>Tracking Number</t>
        </is>
      </c>
      <c r="J1" s="1" t="inlineStr">
        <is>
          <t>Carrier</t>
        </is>
      </c>
      <c r="K1" s="1" t="inlineStr">
        <is>
          <t>Return Received Date</t>
        </is>
      </c>
      <c r="L1" s="1" t="inlineStr">
        <is>
          <t>Assets Received</t>
        </is>
      </c>
      <c r="M1" s="1" t="inlineStr">
        <is>
          <t>Assets Missing</t>
        </is>
      </c>
      <c r="N1" s="1" t="inlineStr">
        <is>
          <t>Condition on Return</t>
        </is>
      </c>
      <c r="O1" s="1" t="inlineStr">
        <is>
          <t>Financial Liability</t>
        </is>
      </c>
      <c r="P1" s="1" t="inlineStr">
        <is>
          <t>Liability Amount</t>
        </is>
      </c>
      <c r="Q1" s="1" t="inlineStr">
        <is>
          <t>Status</t>
        </is>
      </c>
      <c r="R1" s="1" t="inlineStr">
        <is>
          <t>Days Overdue</t>
        </is>
      </c>
      <c r="S1" s="1" t="inlineStr">
        <is>
          <t>Escalation Notes</t>
        </is>
      </c>
    </row>
    <row r="2">
      <c r="A2" s="2" t="inlineStr">
        <is>
          <t>Tom Reed</t>
        </is>
      </c>
      <c r="B2" s="2" t="inlineStr">
        <is>
          <t>EMP-1014</t>
        </is>
      </c>
      <c r="C2" s="8" t="n">
        <v>46096</v>
      </c>
      <c r="D2" s="8" t="n">
        <v>46097</v>
      </c>
      <c r="E2" s="8" t="n">
        <v>46111</v>
      </c>
      <c r="F2" s="2" t="inlineStr">
        <is>
          <t>AST-005, AST-009, AST-012, CAC-003</t>
        </is>
      </c>
      <c r="G2" s="2" t="inlineStr">
        <is>
          <t>Yes</t>
        </is>
      </c>
      <c r="H2" s="2" t="inlineStr">
        <is>
          <t>Yes</t>
        </is>
      </c>
      <c r="I2" s="2" t="inlineStr">
        <is>
          <t>1Z999AA10200001</t>
        </is>
      </c>
      <c r="J2" s="2" t="inlineStr">
        <is>
          <t>UPS</t>
        </is>
      </c>
      <c r="K2" s="8" t="n">
        <v>46109</v>
      </c>
      <c r="L2" s="2" t="inlineStr">
        <is>
          <t>AST-005, AST-009, AST-012, CAC-003</t>
        </is>
      </c>
      <c r="M2" s="2" t="inlineStr"/>
      <c r="N2" s="2" t="inlineStr">
        <is>
          <t>Good</t>
        </is>
      </c>
      <c r="O2" s="2" t="inlineStr">
        <is>
          <t>None</t>
        </is>
      </c>
      <c r="P2" s="4" t="n">
        <v>0</v>
      </c>
      <c r="Q2" s="2" t="inlineStr">
        <is>
          <t>Complete</t>
        </is>
      </c>
      <c r="R2" s="2">
        <f>IF(Q2="Complete",0,IF(Q2="Written Off",0,IF(K2&lt;&gt;"",0,IF(TODAY()&gt;E2,TODAY()-E2,0))))</f>
        <v/>
      </c>
      <c r="S2" s="2" t="inlineStr"/>
    </row>
    <row r="3">
      <c r="A3" s="5" t="inlineStr">
        <is>
          <t>David Kim</t>
        </is>
      </c>
      <c r="B3" s="5" t="inlineStr">
        <is>
          <t>EMP-1004</t>
        </is>
      </c>
      <c r="C3" s="9" t="n">
        <v>46142</v>
      </c>
      <c r="D3" s="9" t="n">
        <v>46127</v>
      </c>
      <c r="E3" s="9" t="n">
        <v>46156</v>
      </c>
      <c r="F3" s="5" t="inlineStr">
        <is>
          <t>AST-005, AST-009, CAC-003</t>
        </is>
      </c>
      <c r="G3" s="5" t="inlineStr">
        <is>
          <t>Yes</t>
        </is>
      </c>
      <c r="H3" s="5" t="inlineStr">
        <is>
          <t>Yes</t>
        </is>
      </c>
      <c r="I3" s="5" t="inlineStr"/>
      <c r="J3" s="5" t="inlineStr"/>
      <c r="K3" s="9" t="n"/>
      <c r="L3" s="5" t="inlineStr"/>
      <c r="M3" s="5" t="inlineStr"/>
      <c r="N3" s="5" t="inlineStr"/>
      <c r="O3" s="5" t="inlineStr">
        <is>
          <t>None</t>
        </is>
      </c>
      <c r="P3" s="7" t="n">
        <v>0</v>
      </c>
      <c r="Q3" s="5" t="inlineStr">
        <is>
          <t>Pending</t>
        </is>
      </c>
      <c r="R3" s="5">
        <f>IF(Q3="Complete",0,IF(Q3="Written Off",0,IF(K3&lt;&gt;"",0,IF(TODAY()&gt;E3,TODAY()-E3,0))))</f>
        <v/>
      </c>
      <c r="S3" s="5" t="inlineStr">
        <is>
          <t>Pre-separation initiated</t>
        </is>
      </c>
    </row>
    <row r="4">
      <c r="A4" s="2" t="inlineStr">
        <is>
          <t>Angela White</t>
        </is>
      </c>
      <c r="B4" s="2" t="inlineStr">
        <is>
          <t>EMP-0998</t>
        </is>
      </c>
      <c r="C4" s="8" t="n">
        <v>46081</v>
      </c>
      <c r="D4" s="8" t="n">
        <v>46082</v>
      </c>
      <c r="E4" s="8" t="n">
        <v>46095</v>
      </c>
      <c r="F4" s="2" t="inlineStr">
        <is>
          <t>LPT-010, MON-005, HDS-004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1Z999AA10200002</t>
        </is>
      </c>
      <c r="J4" s="2" t="inlineStr">
        <is>
          <t>UPS</t>
        </is>
      </c>
      <c r="K4" s="8" t="n">
        <v>46101</v>
      </c>
      <c r="L4" s="2" t="inlineStr">
        <is>
          <t>LPT-010, MON-005</t>
        </is>
      </c>
      <c r="M4" s="2" t="inlineStr">
        <is>
          <t>HDS-004</t>
        </is>
      </c>
      <c r="N4" s="2" t="inlineStr">
        <is>
          <t>Fair</t>
        </is>
      </c>
      <c r="O4" s="2" t="inlineStr">
        <is>
          <t>Partial</t>
        </is>
      </c>
      <c r="P4" s="4" t="n">
        <v>229.99</v>
      </c>
      <c r="Q4" s="2" t="inlineStr">
        <is>
          <t>Escalated</t>
        </is>
      </c>
      <c r="R4" s="2">
        <f>IF(Q4="Complete",0,IF(Q4="Written Off",0,IF(K4&lt;&gt;"",0,IF(TODAY()&gt;E4,TODAY()-E4,0))))</f>
        <v/>
      </c>
      <c r="S4" s="2" t="inlineStr">
        <is>
          <t>Headset not returned - payroll deduction initiated</t>
        </is>
      </c>
    </row>
    <row r="5">
      <c r="A5" s="5" t="inlineStr">
        <is>
          <t>Marcus Jones</t>
        </is>
      </c>
      <c r="B5" s="5" t="inlineStr">
        <is>
          <t>EMP-0995</t>
        </is>
      </c>
      <c r="C5" s="9" t="n">
        <v>46053</v>
      </c>
      <c r="D5" s="9" t="n">
        <v>46054</v>
      </c>
      <c r="E5" s="9" t="n">
        <v>46067</v>
      </c>
      <c r="F5" s="5" t="inlineStr">
        <is>
          <t>LPT-008, MON-006, HDS-005, CAC-004</t>
        </is>
      </c>
      <c r="G5" s="5" t="inlineStr">
        <is>
          <t>Yes</t>
        </is>
      </c>
      <c r="H5" s="5" t="inlineStr">
        <is>
          <t>Yes</t>
        </is>
      </c>
      <c r="I5" s="5" t="inlineStr">
        <is>
          <t>1Z999AA10200003</t>
        </is>
      </c>
      <c r="J5" s="5" t="inlineStr">
        <is>
          <t>FedEx</t>
        </is>
      </c>
      <c r="K5" s="9" t="n">
        <v>46065</v>
      </c>
      <c r="L5" s="5" t="inlineStr">
        <is>
          <t>LPT-008, MON-006, HDS-005, CAC-004</t>
        </is>
      </c>
      <c r="M5" s="5" t="inlineStr"/>
      <c r="N5" s="5" t="inlineStr">
        <is>
          <t>Good</t>
        </is>
      </c>
      <c r="O5" s="5" t="inlineStr">
        <is>
          <t>None</t>
        </is>
      </c>
      <c r="P5" s="7" t="n">
        <v>0</v>
      </c>
      <c r="Q5" s="5" t="inlineStr">
        <is>
          <t>Complete</t>
        </is>
      </c>
      <c r="R5" s="5">
        <f>IF(Q5="Complete",0,IF(Q5="Written Off",0,IF(K5&lt;&gt;"",0,IF(TODAY()&gt;E5,TODAY()-E5,0))))</f>
        <v/>
      </c>
      <c r="S5" s="5" t="inlineStr"/>
    </row>
    <row r="6">
      <c r="A6" s="2" t="inlineStr">
        <is>
          <t>Patricia Clark</t>
        </is>
      </c>
      <c r="B6" s="2" t="inlineStr">
        <is>
          <t>EMP-0990</t>
        </is>
      </c>
      <c r="C6" s="8" t="n">
        <v>46088</v>
      </c>
      <c r="D6" s="8" t="n">
        <v>46089</v>
      </c>
      <c r="E6" s="8" t="n">
        <v>46102</v>
      </c>
      <c r="F6" s="2" t="inlineStr">
        <is>
          <t>LPT-009, MON-007, HDS-006, CAC-005, DOC-003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1Z999AA10200004</t>
        </is>
      </c>
      <c r="J6" s="2" t="inlineStr">
        <is>
          <t>UPS</t>
        </is>
      </c>
      <c r="K6" s="8" t="n"/>
      <c r="L6" s="2" t="inlineStr"/>
      <c r="M6" s="2" t="inlineStr"/>
      <c r="N6" s="2" t="inlineStr"/>
      <c r="O6" s="2" t="inlineStr">
        <is>
          <t>None</t>
        </is>
      </c>
      <c r="P6" s="4" t="n">
        <v>0</v>
      </c>
      <c r="Q6" s="2" t="inlineStr">
        <is>
          <t>Escalated</t>
        </is>
      </c>
      <c r="R6" s="2">
        <f>IF(Q6="Complete",0,IF(Q6="Written Off",0,IF(K6&lt;&gt;"",0,IF(TODAY()&gt;E6,TODAY()-E6,0))))</f>
        <v/>
      </c>
      <c r="S6" s="2" t="inlineStr">
        <is>
          <t>Package lost in transit - claim filed with UPS</t>
        </is>
      </c>
    </row>
    <row r="7">
      <c r="A7" s="5" t="inlineStr">
        <is>
          <t>Steven Wright</t>
        </is>
      </c>
      <c r="B7" s="5" t="inlineStr">
        <is>
          <t>EMP-0988</t>
        </is>
      </c>
      <c r="C7" s="9" t="n">
        <v>46122</v>
      </c>
      <c r="D7" s="9" t="n">
        <v>46123</v>
      </c>
      <c r="E7" s="9" t="n">
        <v>46137</v>
      </c>
      <c r="F7" s="5" t="inlineStr">
        <is>
          <t>LPT-011, MON-008, HDS-007</t>
        </is>
      </c>
      <c r="G7" s="5" t="inlineStr">
        <is>
          <t>Yes</t>
        </is>
      </c>
      <c r="H7" s="5" t="inlineStr">
        <is>
          <t>Yes</t>
        </is>
      </c>
      <c r="I7" s="5" t="inlineStr">
        <is>
          <t>1Z999AA10200005</t>
        </is>
      </c>
      <c r="J7" s="5" t="inlineStr">
        <is>
          <t>FedEx</t>
        </is>
      </c>
      <c r="K7" s="9" t="n"/>
      <c r="L7" s="5" t="inlineStr"/>
      <c r="M7" s="5" t="inlineStr"/>
      <c r="N7" s="5" t="inlineStr"/>
      <c r="O7" s="5" t="inlineStr">
        <is>
          <t>None</t>
        </is>
      </c>
      <c r="P7" s="7" t="n">
        <v>0</v>
      </c>
      <c r="Q7" s="5" t="inlineStr">
        <is>
          <t>In Transit</t>
        </is>
      </c>
      <c r="R7" s="5">
        <f>IF(Q7="Complete",0,IF(Q7="Written Off",0,IF(K7&lt;&gt;"",0,IF(TODAY()&gt;E7,TODAY()-E7,0))))</f>
        <v/>
      </c>
      <c r="S7" s="5" t="inlineStr">
        <is>
          <t>Tracking shows in transit</t>
        </is>
      </c>
    </row>
    <row r="8">
      <c r="A8" s="2" t="inlineStr">
        <is>
          <t>Nancy Taylor</t>
        </is>
      </c>
      <c r="B8" s="2" t="inlineStr">
        <is>
          <t>EMP-0985</t>
        </is>
      </c>
      <c r="C8" s="8" t="n">
        <v>46101</v>
      </c>
      <c r="D8" s="8" t="n">
        <v>46102</v>
      </c>
      <c r="E8" s="8" t="n">
        <v>46115</v>
      </c>
      <c r="F8" s="2" t="inlineStr">
        <is>
          <t>LPT-012, MON-009, HDS-008, CAC-006</t>
        </is>
      </c>
      <c r="G8" s="2" t="inlineStr">
        <is>
          <t>Yes</t>
        </is>
      </c>
      <c r="H8" s="2" t="inlineStr">
        <is>
          <t>Yes</t>
        </is>
      </c>
      <c r="I8" s="2" t="inlineStr">
        <is>
          <t>9400111899223100005</t>
        </is>
      </c>
      <c r="J8" s="2" t="inlineStr">
        <is>
          <t>USPS</t>
        </is>
      </c>
      <c r="K8" s="8" t="n">
        <v>46120</v>
      </c>
      <c r="L8" s="2" t="inlineStr">
        <is>
          <t>LPT-012, MON-009, CAC-006</t>
        </is>
      </c>
      <c r="M8" s="2" t="inlineStr">
        <is>
          <t>HDS-008</t>
        </is>
      </c>
      <c r="N8" s="2" t="inlineStr">
        <is>
          <t>Damaged</t>
        </is>
      </c>
      <c r="O8" s="2" t="inlineStr">
        <is>
          <t>Full</t>
        </is>
      </c>
      <c r="P8" s="4" t="n">
        <v>199.99</v>
      </c>
      <c r="Q8" s="2" t="inlineStr">
        <is>
          <t>Escalated</t>
        </is>
      </c>
      <c r="R8" s="2">
        <f>IF(Q8="Complete",0,IF(Q8="Written Off",0,IF(K8&lt;&gt;"",0,IF(TODAY()&gt;E8,TODAY()-E8,0))))</f>
        <v/>
      </c>
      <c r="S8" s="2" t="inlineStr">
        <is>
          <t>Laptop screen cracked - full liability assessed</t>
        </is>
      </c>
    </row>
    <row r="9">
      <c r="A9" s="5" t="inlineStr">
        <is>
          <t>George Adams</t>
        </is>
      </c>
      <c r="B9" s="5" t="inlineStr">
        <is>
          <t>EMP-0982</t>
        </is>
      </c>
      <c r="C9" s="9" t="n">
        <v>46117</v>
      </c>
      <c r="D9" s="9" t="n">
        <v>46118</v>
      </c>
      <c r="E9" s="9" t="n">
        <v>46131</v>
      </c>
      <c r="F9" s="5" t="inlineStr">
        <is>
          <t>LPT-013, MON-010, HDS-009, CAC-007</t>
        </is>
      </c>
      <c r="G9" s="5" t="inlineStr">
        <is>
          <t>No</t>
        </is>
      </c>
      <c r="H9" s="5" t="inlineStr">
        <is>
          <t>No</t>
        </is>
      </c>
      <c r="I9" s="5" t="inlineStr"/>
      <c r="J9" s="5" t="inlineStr"/>
      <c r="K9" s="9" t="n"/>
      <c r="L9" s="5" t="inlineStr"/>
      <c r="M9" s="5" t="inlineStr"/>
      <c r="N9" s="5" t="inlineStr"/>
      <c r="O9" s="5" t="inlineStr">
        <is>
          <t>None</t>
        </is>
      </c>
      <c r="P9" s="7" t="n">
        <v>0</v>
      </c>
      <c r="Q9" s="5" t="inlineStr">
        <is>
          <t>Pending</t>
        </is>
      </c>
      <c r="R9" s="5">
        <f>IF(Q9="Complete",0,IF(Q9="Written Off",0,IF(K9&lt;&gt;"",0,IF(TODAY()&gt;E9,TODAY()-E9,0))))</f>
        <v/>
      </c>
      <c r="S9" s="5" t="inlineStr">
        <is>
          <t>Return kit not yet sent - awaiting address confirmation</t>
        </is>
      </c>
    </row>
  </sheetData>
  <conditionalFormatting sqref="Q2:Q9">
    <cfRule type="cellIs" priority="1" operator="equal" dxfId="2">
      <formula>"Complete"</formula>
    </cfRule>
    <cfRule type="cellIs" priority="2" operator="equal" dxfId="1">
      <formula>"In Transit"</formula>
    </cfRule>
    <cfRule type="cellIs" priority="3" operator="equal" dxfId="0">
      <formula>"Escalated"</formula>
    </cfRule>
    <cfRule type="cellIs" priority="4" operator="equal" dxfId="1">
      <formula>"Pending"</formula>
    </cfRule>
  </conditionalFormatting>
  <conditionalFormatting sqref="R2:R9">
    <cfRule type="expression" priority="5" dxfId="0">
      <formula>R2&gt;0</formula>
    </cfRule>
  </conditionalFormatting>
  <dataValidations count="6">
    <dataValidation sqref="G2:G9" showDropDown="0" showInputMessage="0" showErrorMessage="0" allowBlank="1" type="list">
      <formula1>"Yes,No,N/A"</formula1>
    </dataValidation>
    <dataValidation sqref="H2:H9" showDropDown="0" showInputMessage="0" showErrorMessage="0" allowBlank="1" type="list">
      <formula1>"Yes,No"</formula1>
    </dataValidation>
    <dataValidation sqref="J2:J9" showDropDown="0" showInputMessage="0" showErrorMessage="0" allowBlank="1" type="list">
      <formula1>"FedEx,UPS,USPS,DHL,Other"</formula1>
    </dataValidation>
    <dataValidation sqref="N2:N9" showDropDown="0" showInputMessage="0" showErrorMessage="0" allowBlank="1" type="list">
      <formula1>"Good,Fair,Poor,Damaged"</formula1>
    </dataValidation>
    <dataValidation sqref="O2:O9" showDropDown="0" showInputMessage="0" showErrorMessage="0" allowBlank="1" type="list">
      <formula1>"None,Partial,Full"</formula1>
    </dataValidation>
    <dataValidation sqref="Q2:Q9" showDropDown="0" showInputMessage="0" showErrorMessage="0" allowBlank="1" type="list">
      <formula1>"Pending,In Transit,Received,Complete,Escalated,Written Off"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17" customWidth="1" min="4" max="4"/>
    <col width="26" customWidth="1" min="5" max="5"/>
    <col width="16" customWidth="1" min="6" max="6"/>
    <col width="18" customWidth="1" min="7" max="7"/>
    <col width="16" customWidth="1" min="8" max="8"/>
    <col width="16" customWidth="1" min="9" max="9"/>
    <col width="20" customWidth="1" min="10" max="10"/>
    <col width="16" customWidth="1" min="11" max="11"/>
    <col width="16" customWidth="1" min="12" max="12"/>
    <col width="16" customWidth="1" min="13" max="13"/>
    <col width="15" customWidth="1" min="14" max="14"/>
    <col width="30" customWidth="1" min="15" max="15"/>
  </cols>
  <sheetData>
    <row r="1" ht="30" customHeight="1">
      <c r="A1" s="1" t="inlineStr">
        <is>
          <t>Employee Name</t>
        </is>
      </c>
      <c r="B1" s="1" t="inlineStr">
        <is>
          <t>Employee ID</t>
        </is>
      </c>
      <c r="C1" s="1" t="inlineStr">
        <is>
          <t>Dedicated Workspace</t>
        </is>
      </c>
      <c r="D1" s="1" t="inlineStr">
        <is>
          <t>Adequate Lighting</t>
        </is>
      </c>
      <c r="E1" s="1" t="inlineStr">
        <is>
          <t>Reliable Internet - Min 25 Mbps</t>
        </is>
      </c>
      <c r="F1" s="1" t="inlineStr">
        <is>
          <t>Speed Test Result</t>
        </is>
      </c>
      <c r="G1" s="1" t="inlineStr">
        <is>
          <t>Backup Internet Plan</t>
        </is>
      </c>
      <c r="H1" s="1" t="inlineStr">
        <is>
          <t>Surge Protector</t>
        </is>
      </c>
      <c r="I1" s="1" t="inlineStr">
        <is>
          <t>Ergonomic Setup</t>
        </is>
      </c>
      <c r="J1" s="1" t="inlineStr">
        <is>
          <t>Private/Secure Location</t>
        </is>
      </c>
      <c r="K1" s="1" t="inlineStr">
        <is>
          <t>Photo Submitted</t>
        </is>
      </c>
      <c r="L1" s="1" t="inlineStr">
        <is>
          <t>Verification Date</t>
        </is>
      </c>
      <c r="M1" s="1" t="inlineStr">
        <is>
          <t>Verified By</t>
        </is>
      </c>
      <c r="N1" s="1" t="inlineStr">
        <is>
          <t>Overall Status</t>
        </is>
      </c>
      <c r="O1" s="1" t="inlineStr">
        <is>
          <t>Notes</t>
        </is>
      </c>
    </row>
    <row r="2">
      <c r="A2" s="2" t="inlineStr">
        <is>
          <t>Maria Santos</t>
        </is>
      </c>
      <c r="B2" s="2" t="inlineStr">
        <is>
          <t>EMP-1001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85 Mbps</t>
        </is>
      </c>
      <c r="G2" s="2" t="inlineStr">
        <is>
          <t>No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Yes</t>
        </is>
      </c>
      <c r="L2" s="8" t="n">
        <v>46067</v>
      </c>
      <c r="M2" s="2" t="inlineStr">
        <is>
          <t>Sarah Williams</t>
        </is>
      </c>
      <c r="N2" s="2" t="inlineStr">
        <is>
          <t>Approved</t>
        </is>
      </c>
      <c r="O2" s="2" t="inlineStr"/>
    </row>
    <row r="3">
      <c r="A3" s="5" t="inlineStr">
        <is>
          <t>James Carter</t>
        </is>
      </c>
      <c r="B3" s="5" t="inlineStr">
        <is>
          <t>EMP-1002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120 Mbps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9" t="n">
        <v>46067</v>
      </c>
      <c r="M3" s="5" t="inlineStr">
        <is>
          <t>Sarah Williams</t>
        </is>
      </c>
      <c r="N3" s="5" t="inlineStr">
        <is>
          <t>Approved</t>
        </is>
      </c>
      <c r="O3" s="5" t="inlineStr"/>
    </row>
    <row r="4">
      <c r="A4" s="2" t="inlineStr">
        <is>
          <t>Aisha Johnson</t>
        </is>
      </c>
      <c r="B4" s="2" t="inlineStr">
        <is>
          <t>EMP-1003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200 Mbps</t>
        </is>
      </c>
      <c r="G4" s="2" t="inlineStr">
        <is>
          <t>Yes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Yes</t>
        </is>
      </c>
      <c r="L4" s="8" t="n">
        <v>46041</v>
      </c>
      <c r="M4" s="2" t="inlineStr">
        <is>
          <t>Sarah Williams</t>
        </is>
      </c>
      <c r="N4" s="2" t="inlineStr">
        <is>
          <t>Approved</t>
        </is>
      </c>
      <c r="O4" s="2" t="inlineStr">
        <is>
          <t>Fiber connection</t>
        </is>
      </c>
    </row>
    <row r="5">
      <c r="A5" s="5" t="inlineStr">
        <is>
          <t>David Kim</t>
        </is>
      </c>
      <c r="B5" s="5" t="inlineStr">
        <is>
          <t>EMP-1004</t>
        </is>
      </c>
      <c r="C5" s="5" t="inlineStr">
        <is>
          <t>Yes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75 Mbps</t>
        </is>
      </c>
      <c r="G5" s="5" t="inlineStr">
        <is>
          <t>No</t>
        </is>
      </c>
      <c r="H5" s="5" t="inlineStr">
        <is>
          <t>Yes</t>
        </is>
      </c>
      <c r="I5" s="5" t="inlineStr">
        <is>
          <t>Pending</t>
        </is>
      </c>
      <c r="J5" s="5" t="inlineStr">
        <is>
          <t>Yes</t>
        </is>
      </c>
      <c r="K5" s="5" t="inlineStr">
        <is>
          <t>Yes</t>
        </is>
      </c>
      <c r="L5" s="9" t="n">
        <v>46041</v>
      </c>
      <c r="M5" s="5" t="inlineStr">
        <is>
          <t>Sarah Williams</t>
        </is>
      </c>
      <c r="N5" s="5" t="inlineStr">
        <is>
          <t>Conditional</t>
        </is>
      </c>
      <c r="O5" s="5" t="inlineStr">
        <is>
          <t>Ergonomic assessment pending</t>
        </is>
      </c>
    </row>
    <row r="6">
      <c r="A6" s="2" t="inlineStr">
        <is>
          <t>Robert Chen</t>
        </is>
      </c>
      <c r="B6" s="2" t="inlineStr">
        <is>
          <t>EMP-1005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150 Mbps</t>
        </is>
      </c>
      <c r="G6" s="2" t="inlineStr">
        <is>
          <t>Yes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Yes</t>
        </is>
      </c>
      <c r="L6" s="8" t="n">
        <v>46030</v>
      </c>
      <c r="M6" s="2" t="inlineStr">
        <is>
          <t>Sarah Williams</t>
        </is>
      </c>
      <c r="N6" s="2" t="inlineStr">
        <is>
          <t>Approved</t>
        </is>
      </c>
      <c r="O6" s="2" t="inlineStr">
        <is>
          <t>Home office setup</t>
        </is>
      </c>
    </row>
    <row r="7">
      <c r="A7" s="5" t="inlineStr">
        <is>
          <t>Sarah Williams</t>
        </is>
      </c>
      <c r="B7" s="5" t="inlineStr">
        <is>
          <t>EMP-1006</t>
        </is>
      </c>
      <c r="C7" s="5" t="inlineStr">
        <is>
          <t>Yes</t>
        </is>
      </c>
      <c r="D7" s="5" t="inlineStr">
        <is>
          <t>Yes</t>
        </is>
      </c>
      <c r="E7" s="5" t="inlineStr">
        <is>
          <t>Yes</t>
        </is>
      </c>
      <c r="F7" s="5" t="inlineStr">
        <is>
          <t>300 Mbps</t>
        </is>
      </c>
      <c r="G7" s="5" t="inlineStr">
        <is>
          <t>Yes</t>
        </is>
      </c>
      <c r="H7" s="5" t="inlineStr">
        <is>
          <t>Yes</t>
        </is>
      </c>
      <c r="I7" s="5" t="inlineStr">
        <is>
          <t>Yes</t>
        </is>
      </c>
      <c r="J7" s="5" t="inlineStr">
        <is>
          <t>Yes</t>
        </is>
      </c>
      <c r="K7" s="5" t="inlineStr">
        <is>
          <t>Yes</t>
        </is>
      </c>
      <c r="L7" s="9" t="n">
        <v>45866</v>
      </c>
      <c r="M7" s="5" t="inlineStr">
        <is>
          <t>Mike Davis</t>
        </is>
      </c>
      <c r="N7" s="5" t="inlineStr">
        <is>
          <t>Approved</t>
        </is>
      </c>
      <c r="O7" s="5" t="inlineStr"/>
    </row>
    <row r="8">
      <c r="A8" s="2" t="inlineStr">
        <is>
          <t>Lisa Park</t>
        </is>
      </c>
      <c r="B8" s="2" t="inlineStr">
        <is>
          <t>EMP-1007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Yes</t>
        </is>
      </c>
      <c r="F8" s="2" t="inlineStr">
        <is>
          <t>50 Mbps</t>
        </is>
      </c>
      <c r="G8" s="2" t="inlineStr">
        <is>
          <t>No</t>
        </is>
      </c>
      <c r="H8" s="2" t="inlineStr">
        <is>
          <t>Yes</t>
        </is>
      </c>
      <c r="I8" s="2" t="inlineStr">
        <is>
          <t>Pending</t>
        </is>
      </c>
      <c r="J8" s="2" t="inlineStr">
        <is>
          <t>Yes</t>
        </is>
      </c>
      <c r="K8" s="2" t="inlineStr">
        <is>
          <t>No</t>
        </is>
      </c>
      <c r="L8" s="8" t="n"/>
      <c r="M8" s="2" t="inlineStr"/>
      <c r="N8" s="2" t="inlineStr">
        <is>
          <t>Pending Review</t>
        </is>
      </c>
      <c r="O8" s="2" t="inlineStr">
        <is>
          <t>Photo not yet submitted</t>
        </is>
      </c>
    </row>
    <row r="9">
      <c r="A9" s="5" t="inlineStr">
        <is>
          <t>Michael Brown</t>
        </is>
      </c>
      <c r="B9" s="5" t="inlineStr">
        <is>
          <t>EMP-1008</t>
        </is>
      </c>
      <c r="C9" s="5" t="inlineStr">
        <is>
          <t>Pending</t>
        </is>
      </c>
      <c r="D9" s="5" t="inlineStr">
        <is>
          <t>Pending</t>
        </is>
      </c>
      <c r="E9" s="5" t="inlineStr">
        <is>
          <t>Pending</t>
        </is>
      </c>
      <c r="F9" s="5" t="inlineStr"/>
      <c r="G9" s="5" t="inlineStr">
        <is>
          <t>Pending</t>
        </is>
      </c>
      <c r="H9" s="5" t="inlineStr">
        <is>
          <t>Pending</t>
        </is>
      </c>
      <c r="I9" s="5" t="inlineStr">
        <is>
          <t>Pending</t>
        </is>
      </c>
      <c r="J9" s="5" t="inlineStr">
        <is>
          <t>Pending</t>
        </is>
      </c>
      <c r="K9" s="5" t="inlineStr">
        <is>
          <t>No</t>
        </is>
      </c>
      <c r="L9" s="9" t="n"/>
      <c r="M9" s="5" t="inlineStr"/>
      <c r="N9" s="5" t="inlineStr">
        <is>
          <t>Pending Review</t>
        </is>
      </c>
      <c r="O9" s="5" t="inlineStr">
        <is>
          <t>Not yet assessed</t>
        </is>
      </c>
    </row>
    <row r="10">
      <c r="A10" s="2" t="inlineStr">
        <is>
          <t>Jennifer Liu</t>
        </is>
      </c>
      <c r="B10" s="2" t="inlineStr">
        <is>
          <t>EMP-1009</t>
        </is>
      </c>
      <c r="C10" s="2" t="inlineStr">
        <is>
          <t>Pending</t>
        </is>
      </c>
      <c r="D10" s="2" t="inlineStr">
        <is>
          <t>Pending</t>
        </is>
      </c>
      <c r="E10" s="2" t="inlineStr">
        <is>
          <t>Pending</t>
        </is>
      </c>
      <c r="F10" s="2" t="inlineStr"/>
      <c r="G10" s="2" t="inlineStr">
        <is>
          <t>Pending</t>
        </is>
      </c>
      <c r="H10" s="2" t="inlineStr">
        <is>
          <t>Pending</t>
        </is>
      </c>
      <c r="I10" s="2" t="inlineStr">
        <is>
          <t>Pending</t>
        </is>
      </c>
      <c r="J10" s="2" t="inlineStr">
        <is>
          <t>Pending</t>
        </is>
      </c>
      <c r="K10" s="2" t="inlineStr">
        <is>
          <t>No</t>
        </is>
      </c>
      <c r="L10" s="8" t="n"/>
      <c r="M10" s="2" t="inlineStr"/>
      <c r="N10" s="2" t="inlineStr">
        <is>
          <t>Pending Review</t>
        </is>
      </c>
      <c r="O10" s="2" t="inlineStr">
        <is>
          <t>New hire - wave 3</t>
        </is>
      </c>
    </row>
    <row r="11">
      <c r="A11" s="5" t="inlineStr">
        <is>
          <t>Carlos Rodriguez</t>
        </is>
      </c>
      <c r="B11" s="5" t="inlineStr">
        <is>
          <t>EMP-1010</t>
        </is>
      </c>
      <c r="C11" s="5" t="inlineStr">
        <is>
          <t>Yes</t>
        </is>
      </c>
      <c r="D11" s="5" t="inlineStr">
        <is>
          <t>Yes</t>
        </is>
      </c>
      <c r="E11" s="5" t="inlineStr">
        <is>
          <t>No</t>
        </is>
      </c>
      <c r="F11" s="5" t="inlineStr">
        <is>
          <t>18 Mbps</t>
        </is>
      </c>
      <c r="G11" s="5" t="inlineStr">
        <is>
          <t>No</t>
        </is>
      </c>
      <c r="H11" s="5" t="inlineStr">
        <is>
          <t>No</t>
        </is>
      </c>
      <c r="I11" s="5" t="inlineStr">
        <is>
          <t>Pending</t>
        </is>
      </c>
      <c r="J11" s="5" t="inlineStr">
        <is>
          <t>Yes</t>
        </is>
      </c>
      <c r="K11" s="5" t="inlineStr">
        <is>
          <t>Yes</t>
        </is>
      </c>
      <c r="L11" s="9" t="n">
        <v>46086</v>
      </c>
      <c r="M11" s="5" t="inlineStr">
        <is>
          <t>Sarah Williams</t>
        </is>
      </c>
      <c r="N11" s="5" t="inlineStr">
        <is>
          <t>Not Approved</t>
        </is>
      </c>
      <c r="O11" s="5" t="inlineStr">
        <is>
          <t>Internet speed below minimum - needs upgrade</t>
        </is>
      </c>
    </row>
    <row r="12">
      <c r="A12" s="2" t="inlineStr">
        <is>
          <t>Emma Thompson</t>
        </is>
      </c>
      <c r="B12" s="2" t="inlineStr">
        <is>
          <t>EMP-1011</t>
        </is>
      </c>
      <c r="C12" s="2" t="inlineStr">
        <is>
          <t>Pending</t>
        </is>
      </c>
      <c r="D12" s="2" t="inlineStr">
        <is>
          <t>Pending</t>
        </is>
      </c>
      <c r="E12" s="2" t="inlineStr">
        <is>
          <t>Pending</t>
        </is>
      </c>
      <c r="F12" s="2" t="inlineStr"/>
      <c r="G12" s="2" t="inlineStr">
        <is>
          <t>Pending</t>
        </is>
      </c>
      <c r="H12" s="2" t="inlineStr">
        <is>
          <t>Pending</t>
        </is>
      </c>
      <c r="I12" s="2" t="inlineStr">
        <is>
          <t>Pending</t>
        </is>
      </c>
      <c r="J12" s="2" t="inlineStr">
        <is>
          <t>Pending</t>
        </is>
      </c>
      <c r="K12" s="2" t="inlineStr">
        <is>
          <t>No</t>
        </is>
      </c>
      <c r="L12" s="8" t="n"/>
      <c r="M12" s="2" t="inlineStr"/>
      <c r="N12" s="2" t="inlineStr">
        <is>
          <t>Pending Review</t>
        </is>
      </c>
      <c r="O12" s="2" t="inlineStr"/>
    </row>
    <row r="13">
      <c r="A13" s="5" t="inlineStr">
        <is>
          <t>Ahmed Hassan</t>
        </is>
      </c>
      <c r="B13" s="5" t="inlineStr">
        <is>
          <t>EMP-1012</t>
        </is>
      </c>
      <c r="C13" s="5" t="inlineStr">
        <is>
          <t>Yes</t>
        </is>
      </c>
      <c r="D13" s="5" t="inlineStr">
        <is>
          <t>Yes</t>
        </is>
      </c>
      <c r="E13" s="5" t="inlineStr">
        <is>
          <t>Yes</t>
        </is>
      </c>
      <c r="F13" s="5" t="inlineStr">
        <is>
          <t>95 Mbps</t>
        </is>
      </c>
      <c r="G13" s="5" t="inlineStr">
        <is>
          <t>No</t>
        </is>
      </c>
      <c r="H13" s="5" t="inlineStr">
        <is>
          <t>Yes</t>
        </is>
      </c>
      <c r="I13" s="5" t="inlineStr">
        <is>
          <t>Yes</t>
        </is>
      </c>
      <c r="J13" s="5" t="inlineStr">
        <is>
          <t>Yes</t>
        </is>
      </c>
      <c r="K13" s="5" t="inlineStr">
        <is>
          <t>Yes</t>
        </is>
      </c>
      <c r="L13" s="9" t="n">
        <v>46093</v>
      </c>
      <c r="M13" s="5" t="inlineStr">
        <is>
          <t>Sarah Williams</t>
        </is>
      </c>
      <c r="N13" s="5" t="inlineStr">
        <is>
          <t>Approved</t>
        </is>
      </c>
      <c r="O13" s="5" t="inlineStr"/>
    </row>
    <row r="14">
      <c r="A14" s="2" t="inlineStr">
        <is>
          <t>Rachel Green</t>
        </is>
      </c>
      <c r="B14" s="2" t="inlineStr">
        <is>
          <t>EMP-1013</t>
        </is>
      </c>
      <c r="C14" s="2" t="inlineStr">
        <is>
          <t>Pending</t>
        </is>
      </c>
      <c r="D14" s="2" t="inlineStr">
        <is>
          <t>Pending</t>
        </is>
      </c>
      <c r="E14" s="2" t="inlineStr">
        <is>
          <t>Pending</t>
        </is>
      </c>
      <c r="F14" s="2" t="inlineStr"/>
      <c r="G14" s="2" t="inlineStr">
        <is>
          <t>Pending</t>
        </is>
      </c>
      <c r="H14" s="2" t="inlineStr">
        <is>
          <t>Pending</t>
        </is>
      </c>
      <c r="I14" s="2" t="inlineStr">
        <is>
          <t>Pending</t>
        </is>
      </c>
      <c r="J14" s="2" t="inlineStr">
        <is>
          <t>Pending</t>
        </is>
      </c>
      <c r="K14" s="2" t="inlineStr">
        <is>
          <t>No</t>
        </is>
      </c>
      <c r="L14" s="8" t="n"/>
      <c r="M14" s="2" t="inlineStr"/>
      <c r="N14" s="2" t="inlineStr">
        <is>
          <t>Pending Review</t>
        </is>
      </c>
      <c r="O14" s="2" t="inlineStr"/>
    </row>
    <row r="15">
      <c r="A15" s="5" t="inlineStr">
        <is>
          <t>Tom Reed</t>
        </is>
      </c>
      <c r="B15" s="5" t="inlineStr">
        <is>
          <t>EMP-1014</t>
        </is>
      </c>
      <c r="C15" s="5" t="inlineStr">
        <is>
          <t>Yes</t>
        </is>
      </c>
      <c r="D15" s="5" t="inlineStr">
        <is>
          <t>Yes</t>
        </is>
      </c>
      <c r="E15" s="5" t="inlineStr">
        <is>
          <t>Yes</t>
        </is>
      </c>
      <c r="F15" s="5" t="inlineStr">
        <is>
          <t>60 Mbps</t>
        </is>
      </c>
      <c r="G15" s="5" t="inlineStr">
        <is>
          <t>No</t>
        </is>
      </c>
      <c r="H15" s="5" t="inlineStr">
        <is>
          <t>Yes</t>
        </is>
      </c>
      <c r="I15" s="5" t="inlineStr">
        <is>
          <t>Yes</t>
        </is>
      </c>
      <c r="J15" s="5" t="inlineStr">
        <is>
          <t>Yes</t>
        </is>
      </c>
      <c r="K15" s="5" t="inlineStr">
        <is>
          <t>Yes</t>
        </is>
      </c>
      <c r="L15" s="9" t="n">
        <v>46032</v>
      </c>
      <c r="M15" s="5" t="inlineStr">
        <is>
          <t>Sarah Williams</t>
        </is>
      </c>
      <c r="N15" s="5" t="inlineStr">
        <is>
          <t>Approved</t>
        </is>
      </c>
      <c r="O15" s="5" t="inlineStr">
        <is>
          <t>Separated 3/15</t>
        </is>
      </c>
    </row>
    <row r="16">
      <c r="A16" s="2" t="inlineStr">
        <is>
          <t>Nina Patel</t>
        </is>
      </c>
      <c r="B16" s="2" t="inlineStr">
        <is>
          <t>EMP-1015</t>
        </is>
      </c>
      <c r="C16" s="2" t="inlineStr">
        <is>
          <t>Pending</t>
        </is>
      </c>
      <c r="D16" s="2" t="inlineStr">
        <is>
          <t>Pending</t>
        </is>
      </c>
      <c r="E16" s="2" t="inlineStr">
        <is>
          <t>Pending</t>
        </is>
      </c>
      <c r="F16" s="2" t="inlineStr"/>
      <c r="G16" s="2" t="inlineStr">
        <is>
          <t>Pending</t>
        </is>
      </c>
      <c r="H16" s="2" t="inlineStr">
        <is>
          <t>Pending</t>
        </is>
      </c>
      <c r="I16" s="2" t="inlineStr">
        <is>
          <t>Pending</t>
        </is>
      </c>
      <c r="J16" s="2" t="inlineStr">
        <is>
          <t>Pending</t>
        </is>
      </c>
      <c r="K16" s="2" t="inlineStr">
        <is>
          <t>No</t>
        </is>
      </c>
      <c r="L16" s="8" t="n"/>
      <c r="M16" s="2" t="inlineStr"/>
      <c r="N16" s="2" t="inlineStr">
        <is>
          <t>Pending Review</t>
        </is>
      </c>
      <c r="O16" s="2" t="inlineStr"/>
    </row>
    <row r="17">
      <c r="A17" s="5" t="inlineStr">
        <is>
          <t>Brian Scott</t>
        </is>
      </c>
      <c r="B17" s="5" t="inlineStr">
        <is>
          <t>EMP-1016</t>
        </is>
      </c>
      <c r="C17" s="5" t="inlineStr">
        <is>
          <t>Pending</t>
        </is>
      </c>
      <c r="D17" s="5" t="inlineStr">
        <is>
          <t>Pending</t>
        </is>
      </c>
      <c r="E17" s="5" t="inlineStr">
        <is>
          <t>Pending</t>
        </is>
      </c>
      <c r="F17" s="5" t="inlineStr"/>
      <c r="G17" s="5" t="inlineStr">
        <is>
          <t>Pending</t>
        </is>
      </c>
      <c r="H17" s="5" t="inlineStr">
        <is>
          <t>Pending</t>
        </is>
      </c>
      <c r="I17" s="5" t="inlineStr">
        <is>
          <t>Pending</t>
        </is>
      </c>
      <c r="J17" s="5" t="inlineStr">
        <is>
          <t>Pending</t>
        </is>
      </c>
      <c r="K17" s="5" t="inlineStr">
        <is>
          <t>No</t>
        </is>
      </c>
      <c r="L17" s="9" t="n"/>
      <c r="M17" s="5" t="inlineStr"/>
      <c r="N17" s="5" t="inlineStr">
        <is>
          <t>Pending Review</t>
        </is>
      </c>
      <c r="O17" s="5" t="inlineStr"/>
    </row>
    <row r="18">
      <c r="A18" s="2" t="inlineStr">
        <is>
          <t>Diana Foster</t>
        </is>
      </c>
      <c r="B18" s="2" t="inlineStr">
        <is>
          <t>EMP-1017</t>
        </is>
      </c>
      <c r="C18" s="2" t="inlineStr">
        <is>
          <t>Yes</t>
        </is>
      </c>
      <c r="D18" s="2" t="inlineStr">
        <is>
          <t>Yes</t>
        </is>
      </c>
      <c r="E18" s="2" t="inlineStr">
        <is>
          <t>Yes</t>
        </is>
      </c>
      <c r="F18" s="2" t="inlineStr">
        <is>
          <t>110 Mbps</t>
        </is>
      </c>
      <c r="G18" s="2" t="inlineStr">
        <is>
          <t>Yes</t>
        </is>
      </c>
      <c r="H18" s="2" t="inlineStr">
        <is>
          <t>Pending</t>
        </is>
      </c>
      <c r="I18" s="2" t="inlineStr">
        <is>
          <t>Pending</t>
        </is>
      </c>
      <c r="J18" s="2" t="inlineStr">
        <is>
          <t>Yes</t>
        </is>
      </c>
      <c r="K18" s="2" t="inlineStr">
        <is>
          <t>No</t>
        </is>
      </c>
      <c r="L18" s="8" t="n"/>
      <c r="M18" s="2" t="inlineStr"/>
      <c r="N18" s="2" t="inlineStr">
        <is>
          <t>Pending Review</t>
        </is>
      </c>
      <c r="O18" s="2" t="inlineStr">
        <is>
          <t>Internet verified, other items pending</t>
        </is>
      </c>
    </row>
    <row r="19">
      <c r="A19" s="5" t="inlineStr">
        <is>
          <t>Kevin Wright</t>
        </is>
      </c>
      <c r="B19" s="5" t="inlineStr">
        <is>
          <t>EMP-1018</t>
        </is>
      </c>
      <c r="C19" s="5" t="inlineStr">
        <is>
          <t>Pending</t>
        </is>
      </c>
      <c r="D19" s="5" t="inlineStr">
        <is>
          <t>Pending</t>
        </is>
      </c>
      <c r="E19" s="5" t="inlineStr">
        <is>
          <t>Pending</t>
        </is>
      </c>
      <c r="F19" s="5" t="inlineStr"/>
      <c r="G19" s="5" t="inlineStr">
        <is>
          <t>Pending</t>
        </is>
      </c>
      <c r="H19" s="5" t="inlineStr">
        <is>
          <t>Pending</t>
        </is>
      </c>
      <c r="I19" s="5" t="inlineStr">
        <is>
          <t>Pending</t>
        </is>
      </c>
      <c r="J19" s="5" t="inlineStr">
        <is>
          <t>Pending</t>
        </is>
      </c>
      <c r="K19" s="5" t="inlineStr">
        <is>
          <t>No</t>
        </is>
      </c>
      <c r="L19" s="9" t="n"/>
      <c r="M19" s="5" t="inlineStr"/>
      <c r="N19" s="5" t="inlineStr">
        <is>
          <t>Pending Review</t>
        </is>
      </c>
      <c r="O19" s="5" t="inlineStr"/>
    </row>
    <row r="20">
      <c r="A20" s="2" t="inlineStr">
        <is>
          <t>Laura Martinez</t>
        </is>
      </c>
      <c r="B20" s="2" t="inlineStr">
        <is>
          <t>EMP-1019</t>
        </is>
      </c>
      <c r="C20" s="2" t="inlineStr">
        <is>
          <t>Yes</t>
        </is>
      </c>
      <c r="D20" s="2" t="inlineStr">
        <is>
          <t>No</t>
        </is>
      </c>
      <c r="E20" s="2" t="inlineStr">
        <is>
          <t>Yes</t>
        </is>
      </c>
      <c r="F20" s="2" t="inlineStr">
        <is>
          <t>45 Mbps</t>
        </is>
      </c>
      <c r="G20" s="2" t="inlineStr">
        <is>
          <t>No</t>
        </is>
      </c>
      <c r="H20" s="2" t="inlineStr">
        <is>
          <t>Yes</t>
        </is>
      </c>
      <c r="I20" s="2" t="inlineStr">
        <is>
          <t>No</t>
        </is>
      </c>
      <c r="J20" s="2" t="inlineStr">
        <is>
          <t>Yes</t>
        </is>
      </c>
      <c r="K20" s="2" t="inlineStr">
        <is>
          <t>Yes</t>
        </is>
      </c>
      <c r="L20" s="8" t="n">
        <v>46122</v>
      </c>
      <c r="M20" s="2" t="inlineStr">
        <is>
          <t>Sarah Williams</t>
        </is>
      </c>
      <c r="N20" s="2" t="inlineStr">
        <is>
          <t>Conditional</t>
        </is>
      </c>
      <c r="O20" s="2" t="inlineStr">
        <is>
          <t>Lighting and ergonomic issues noted</t>
        </is>
      </c>
    </row>
    <row r="21">
      <c r="A21" s="5" t="inlineStr">
        <is>
          <t>Jason Lee</t>
        </is>
      </c>
      <c r="B21" s="5" t="inlineStr">
        <is>
          <t>EMP-1020</t>
        </is>
      </c>
      <c r="C21" s="5" t="inlineStr">
        <is>
          <t>Pending</t>
        </is>
      </c>
      <c r="D21" s="5" t="inlineStr">
        <is>
          <t>Pending</t>
        </is>
      </c>
      <c r="E21" s="5" t="inlineStr">
        <is>
          <t>Pending</t>
        </is>
      </c>
      <c r="F21" s="5" t="inlineStr"/>
      <c r="G21" s="5" t="inlineStr">
        <is>
          <t>Pending</t>
        </is>
      </c>
      <c r="H21" s="5" t="inlineStr">
        <is>
          <t>Pending</t>
        </is>
      </c>
      <c r="I21" s="5" t="inlineStr">
        <is>
          <t>Pending</t>
        </is>
      </c>
      <c r="J21" s="5" t="inlineStr">
        <is>
          <t>Pending</t>
        </is>
      </c>
      <c r="K21" s="5" t="inlineStr">
        <is>
          <t>No</t>
        </is>
      </c>
      <c r="L21" s="9" t="n"/>
      <c r="M21" s="5" t="inlineStr"/>
      <c r="N21" s="5" t="inlineStr">
        <is>
          <t>Pending Review</t>
        </is>
      </c>
      <c r="O21" s="5" t="inlineStr">
        <is>
          <t>Starting 4/20</t>
        </is>
      </c>
    </row>
  </sheetData>
  <conditionalFormatting sqref="N2:N21">
    <cfRule type="cellIs" priority="1" operator="equal" dxfId="2">
      <formula>"Approved"</formula>
    </cfRule>
    <cfRule type="cellIs" priority="2" operator="equal" dxfId="1">
      <formula>"Conditional"</formula>
    </cfRule>
    <cfRule type="cellIs" priority="3" operator="equal" dxfId="0">
      <formula>"Not Approved"</formula>
    </cfRule>
  </conditionalFormatting>
  <dataValidations count="9">
    <dataValidation sqref="C2:C21" showDropDown="0" showInputMessage="0" showErrorMessage="0" allowBlank="1" type="list">
      <formula1>"Yes,No,Pending"</formula1>
    </dataValidation>
    <dataValidation sqref="D2:D21" showDropDown="0" showInputMessage="0" showErrorMessage="0" allowBlank="1" type="list">
      <formula1>"Yes,No,Pending"</formula1>
    </dataValidation>
    <dataValidation sqref="E2:E21" showDropDown="0" showInputMessage="0" showErrorMessage="0" allowBlank="1" type="list">
      <formula1>"Yes,No,Pending"</formula1>
    </dataValidation>
    <dataValidation sqref="G2:G21" showDropDown="0" showInputMessage="0" showErrorMessage="0" allowBlank="1" type="list">
      <formula1>"Yes,No,N/A"</formula1>
    </dataValidation>
    <dataValidation sqref="H2:H21" showDropDown="0" showInputMessage="0" showErrorMessage="0" allowBlank="1" type="list">
      <formula1>"Yes,No,Pending"</formula1>
    </dataValidation>
    <dataValidation sqref="I2:I21" showDropDown="0" showInputMessage="0" showErrorMessage="0" allowBlank="1" type="list">
      <formula1>"Yes,No,Pending"</formula1>
    </dataValidation>
    <dataValidation sqref="J2:J21" showDropDown="0" showInputMessage="0" showErrorMessage="0" allowBlank="1" type="list">
      <formula1>"Yes,No,Pending"</formula1>
    </dataValidation>
    <dataValidation sqref="K2:K21" showDropDown="0" showInputMessage="0" showErrorMessage="0" allowBlank="1" type="list">
      <formula1>"Yes,No,Pending"</formula1>
    </dataValidation>
    <dataValidation sqref="N2:N21" showDropDown="0" showInputMessage="0" showErrorMessage="0" allowBlank="1" type="list">
      <formula1>"Approved,Conditional,Not Approved,Pending Review"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45" customWidth="1" min="3" max="3"/>
    <col width="30" customWidth="1" min="4" max="4"/>
    <col width="13" customWidth="1" min="5" max="5"/>
    <col width="13" customWidth="1" min="6" max="6"/>
    <col width="18" customWidth="1" min="7" max="7"/>
    <col width="40" customWidth="1" min="8" max="8"/>
  </cols>
  <sheetData>
    <row r="1" ht="30" customHeight="1">
      <c r="A1" s="1" t="inlineStr">
        <is>
          <t>Alert Type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Related Asset/Employee</t>
        </is>
      </c>
      <c r="E1" s="1" t="inlineStr">
        <is>
          <t>Date Flagged</t>
        </is>
      </c>
      <c r="F1" s="1" t="inlineStr">
        <is>
          <t>Status</t>
        </is>
      </c>
      <c r="G1" s="1" t="inlineStr">
        <is>
          <t>Assigned To</t>
        </is>
      </c>
      <c r="H1" s="1" t="inlineStr">
        <is>
          <t>Resolution Notes</t>
        </is>
      </c>
    </row>
    <row r="2">
      <c r="A2" s="2" t="inlineStr">
        <is>
          <t>Overdue Returns</t>
        </is>
      </c>
      <c r="B2" s="2" t="inlineStr">
        <is>
          <t>High</t>
        </is>
      </c>
      <c r="C2" s="2" t="inlineStr">
        <is>
          <t>Return package lost in transit - UPS claim filed</t>
        </is>
      </c>
      <c r="D2" s="2" t="inlineStr">
        <is>
          <t>Patricia Clark (EMP-0990)</t>
        </is>
      </c>
      <c r="E2" s="8" t="n">
        <v>46106</v>
      </c>
      <c r="F2" s="2" t="inlineStr">
        <is>
          <t>Open</t>
        </is>
      </c>
      <c r="G2" s="2" t="inlineStr">
        <is>
          <t>Sarah Williams</t>
        </is>
      </c>
      <c r="H2" s="2" t="inlineStr">
        <is>
          <t>UPS investigating - claim #CLM-887421</t>
        </is>
      </c>
    </row>
    <row r="3">
      <c r="A3" s="5" t="inlineStr">
        <is>
          <t>Missing Equipment</t>
        </is>
      </c>
      <c r="B3" s="5" t="inlineStr">
        <is>
          <t>High</t>
        </is>
      </c>
      <c r="C3" s="5" t="inlineStr">
        <is>
          <t>Headset not returned with separation kit</t>
        </is>
      </c>
      <c r="D3" s="5" t="inlineStr">
        <is>
          <t>Angela White (EMP-0998) / HDS-004</t>
        </is>
      </c>
      <c r="E3" s="9" t="n">
        <v>46103</v>
      </c>
      <c r="F3" s="5" t="inlineStr">
        <is>
          <t>In Progress</t>
        </is>
      </c>
      <c r="G3" s="5" t="inlineStr">
        <is>
          <t>Kelly Thompson</t>
        </is>
      </c>
      <c r="H3" s="5" t="inlineStr">
        <is>
          <t>Payroll deduction initiated for $229.99</t>
        </is>
      </c>
    </row>
    <row r="4">
      <c r="A4" s="2" t="inlineStr">
        <is>
          <t>Warranty Expiring</t>
        </is>
      </c>
      <c r="B4" s="2" t="inlineStr">
        <is>
          <t>Medium</t>
        </is>
      </c>
      <c r="C4" s="2" t="inlineStr">
        <is>
          <t>Monitor warranty expiring within 90 days</t>
        </is>
      </c>
      <c r="D4" s="2" t="inlineStr">
        <is>
          <t>AST-009 (LG 27UK850-W)</t>
        </is>
      </c>
      <c r="E4" s="8" t="n">
        <v>46127</v>
      </c>
      <c r="F4" s="2" t="inlineStr">
        <is>
          <t>Open</t>
        </is>
      </c>
      <c r="G4" s="2" t="inlineStr">
        <is>
          <t>Sarah Williams</t>
        </is>
      </c>
      <c r="H4" s="2" t="inlineStr"/>
    </row>
    <row r="5">
      <c r="A5" s="5" t="inlineStr">
        <is>
          <t>Unfulfilled Deployments</t>
        </is>
      </c>
      <c r="B5" s="5" t="inlineStr">
        <is>
          <t>High</t>
        </is>
      </c>
      <c r="C5" s="5" t="inlineStr">
        <is>
          <t>Kit assembly not started - start date approaching</t>
        </is>
      </c>
      <c r="D5" s="5" t="inlineStr">
        <is>
          <t>Michael Brown (EMP-1008)</t>
        </is>
      </c>
      <c r="E5" s="9" t="n">
        <v>46122</v>
      </c>
      <c r="F5" s="5" t="inlineStr">
        <is>
          <t>Open</t>
        </is>
      </c>
      <c r="G5" s="5" t="inlineStr">
        <is>
          <t>Kelly Thompson</t>
        </is>
      </c>
      <c r="H5" s="5" t="inlineStr">
        <is>
          <t>Start date 3/2 - significantly overdue</t>
        </is>
      </c>
    </row>
    <row r="6">
      <c r="A6" s="2" t="inlineStr">
        <is>
          <t>Workspace Not Verified</t>
        </is>
      </c>
      <c r="B6" s="2" t="inlineStr">
        <is>
          <t>Medium</t>
        </is>
      </c>
      <c r="C6" s="2" t="inlineStr">
        <is>
          <t>Internet speed below 25 Mbps minimum</t>
        </is>
      </c>
      <c r="D6" s="2" t="inlineStr">
        <is>
          <t>Carlos Rodriguez (EMP-1010)</t>
        </is>
      </c>
      <c r="E6" s="8" t="n">
        <v>46087</v>
      </c>
      <c r="F6" s="2" t="inlineStr">
        <is>
          <t>Open</t>
        </is>
      </c>
      <c r="G6" s="2" t="inlineStr">
        <is>
          <t>Sarah Williams</t>
        </is>
      </c>
      <c r="H6" s="2" t="inlineStr">
        <is>
          <t>Employee notified - ISP upgrade in progress</t>
        </is>
      </c>
    </row>
    <row r="7">
      <c r="A7" s="5" t="inlineStr">
        <is>
          <t>Procurement Delays</t>
        </is>
      </c>
      <c r="B7" s="5" t="inlineStr">
        <is>
          <t>Medium</t>
        </is>
      </c>
      <c r="C7" s="5" t="inlineStr">
        <is>
          <t>Docking station order placed but no tracking yet</t>
        </is>
      </c>
      <c r="D7" s="5" t="inlineStr">
        <is>
          <t>REQ-012 / PO-2026-017</t>
        </is>
      </c>
      <c r="E7" s="9" t="n">
        <v>46117</v>
      </c>
      <c r="F7" s="5" t="inlineStr">
        <is>
          <t>Open</t>
        </is>
      </c>
      <c r="G7" s="5" t="inlineStr">
        <is>
          <t>Kelly Thompson</t>
        </is>
      </c>
      <c r="H7" s="5" t="inlineStr">
        <is>
          <t>Contacted Dell for status update</t>
        </is>
      </c>
    </row>
    <row r="8">
      <c r="A8" s="2" t="inlineStr">
        <is>
          <t>Damaged Equipment</t>
        </is>
      </c>
      <c r="B8" s="2" t="inlineStr">
        <is>
          <t>High</t>
        </is>
      </c>
      <c r="C8" s="2" t="inlineStr">
        <is>
          <t>Laptop returned with cracked screen</t>
        </is>
      </c>
      <c r="D8" s="2" t="inlineStr">
        <is>
          <t>Nancy Taylor (EMP-0985) / LPT-012</t>
        </is>
      </c>
      <c r="E8" s="8" t="n">
        <v>46121</v>
      </c>
      <c r="F8" s="2" t="inlineStr">
        <is>
          <t>In Progress</t>
        </is>
      </c>
      <c r="G8" s="2" t="inlineStr">
        <is>
          <t>Sarah Williams</t>
        </is>
      </c>
      <c r="H8" s="2" t="inlineStr">
        <is>
          <t>Full liability assessed - $1,249.99</t>
        </is>
      </c>
    </row>
    <row r="9">
      <c r="A9" s="5" t="inlineStr">
        <is>
          <t>Lost Assets</t>
        </is>
      </c>
      <c r="B9" s="5" t="inlineStr">
        <is>
          <t>High</t>
        </is>
      </c>
      <c r="C9" s="5" t="inlineStr">
        <is>
          <t>Return shipment lost - 4 assets unaccounted for</t>
        </is>
      </c>
      <c r="D9" s="5" t="inlineStr">
        <is>
          <t>Patricia Clark (EMP-0990)</t>
        </is>
      </c>
      <c r="E9" s="9" t="n">
        <v>46113</v>
      </c>
      <c r="F9" s="5" t="inlineStr">
        <is>
          <t>Open</t>
        </is>
      </c>
      <c r="G9" s="5" t="inlineStr">
        <is>
          <t>Kelly Thompson</t>
        </is>
      </c>
      <c r="H9" s="5" t="inlineStr">
        <is>
          <t>Insurance claim pending</t>
        </is>
      </c>
    </row>
    <row r="10">
      <c r="A10" s="2" t="inlineStr">
        <is>
          <t>Unfulfilled Deployments</t>
        </is>
      </c>
      <c r="B10" s="2" t="inlineStr">
        <is>
          <t>Medium</t>
        </is>
      </c>
      <c r="C10" s="2" t="inlineStr">
        <is>
          <t>10 employees in wave 3-4 have no kit assignment</t>
        </is>
      </c>
      <c r="D10" s="2" t="inlineStr">
        <is>
          <t>EMP-1009 through EMP-1020</t>
        </is>
      </c>
      <c r="E10" s="8" t="n">
        <v>46127</v>
      </c>
      <c r="F10" s="2" t="inlineStr">
        <is>
          <t>Open</t>
        </is>
      </c>
      <c r="G10" s="2" t="inlineStr">
        <is>
          <t>Kelly Thompson</t>
        </is>
      </c>
      <c r="H10" s="2" t="inlineStr">
        <is>
          <t>Pending procurement REQ-013, REQ-014</t>
        </is>
      </c>
    </row>
    <row r="11">
      <c r="A11" s="5" t="inlineStr">
        <is>
          <t>Overdue Returns</t>
        </is>
      </c>
      <c r="B11" s="5" t="inlineStr">
        <is>
          <t>Medium</t>
        </is>
      </c>
      <c r="C11" s="5" t="inlineStr">
        <is>
          <t>Return kit not sent - awaiting address confirmation</t>
        </is>
      </c>
      <c r="D11" s="5" t="inlineStr">
        <is>
          <t>George Adams (EMP-0982)</t>
        </is>
      </c>
      <c r="E11" s="9" t="n">
        <v>46124</v>
      </c>
      <c r="F11" s="5" t="inlineStr">
        <is>
          <t>Open</t>
        </is>
      </c>
      <c r="G11" s="5" t="inlineStr">
        <is>
          <t>Sarah Williams</t>
        </is>
      </c>
      <c r="H11" s="5" t="inlineStr">
        <is>
          <t>HR contacted for updated address</t>
        </is>
      </c>
    </row>
    <row r="12">
      <c r="A12" s="2" t="inlineStr">
        <is>
          <t>Warranty Expiring</t>
        </is>
      </c>
      <c r="B12" s="2" t="inlineStr">
        <is>
          <t>Low</t>
        </is>
      </c>
      <c r="C12" s="2" t="inlineStr">
        <is>
          <t>Printer warranty expiring within 90 days</t>
        </is>
      </c>
      <c r="D12" s="2" t="inlineStr">
        <is>
          <t>AST-023 (HP LaserJet Pro)</t>
        </is>
      </c>
      <c r="E12" s="8" t="n">
        <v>46127</v>
      </c>
      <c r="F12" s="2" t="inlineStr">
        <is>
          <t>Open</t>
        </is>
      </c>
      <c r="G12" s="2" t="inlineStr">
        <is>
          <t>Sarah Williams</t>
        </is>
      </c>
      <c r="H12" s="2" t="inlineStr"/>
    </row>
    <row r="13">
      <c r="A13" s="5" t="inlineStr">
        <is>
          <t>Procurement Delays</t>
        </is>
      </c>
      <c r="B13" s="5" t="inlineStr">
        <is>
          <t>Medium</t>
        </is>
      </c>
      <c r="C13" s="5" t="inlineStr">
        <is>
          <t>Two procurement requests pending approval for 10+ days</t>
        </is>
      </c>
      <c r="D13" s="5" t="inlineStr">
        <is>
          <t>REQ-014, REQ-015</t>
        </is>
      </c>
      <c r="E13" s="9" t="n">
        <v>46132</v>
      </c>
      <c r="F13" s="5" t="inlineStr">
        <is>
          <t>Open</t>
        </is>
      </c>
      <c r="G13" s="5" t="inlineStr">
        <is>
          <t>Mike Davis</t>
        </is>
      </c>
      <c r="H13" s="5" t="inlineStr">
        <is>
          <t>Escalated to contracting officer</t>
        </is>
      </c>
    </row>
  </sheetData>
  <conditionalFormatting sqref="A2:H13">
    <cfRule type="expression" priority="1" dxfId="0">
      <formula>$B2="High"</formula>
    </cfRule>
    <cfRule type="expression" priority="2" dxfId="1">
      <formula>$B2="Medium"</formula>
    </cfRule>
    <cfRule type="expression" priority="3" dxfId="2">
      <formula>$B2="Low"</formula>
    </cfRule>
  </conditionalFormatting>
  <dataValidations count="3">
    <dataValidation sqref="A2:A13" showDropDown="0" showInputMessage="0" showErrorMessage="0" allowBlank="1" type="list">
      <formula1>"Overdue Returns,Missing Equipment,Warranty Expiring,Unfulfilled Deployments,Workspace Not Verified,Procurement Delays,Damaged Equipment,Lost Assets"</formula1>
    </dataValidation>
    <dataValidation sqref="B2:B13" showDropDown="0" showInputMessage="0" showErrorMessage="0" allowBlank="1" type="list">
      <formula1>"High,Medium,Low"</formula1>
    </dataValidation>
    <dataValidation sqref="F2:F13" showDropDown="0" showInputMessage="0" showErrorMessage="0" allowBlank="1" type="list">
      <formula1>"Open,In Progress,Resolved"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2026-04-20T23:43:51Z</dcterms:created>
  <dcterms:modified xmlns:dcterms="http://purl.org/dc/terms/" xmlns:xsi="http://www.w3.org/2001/XMLSchema-instance" xsi:type="dcterms:W3CDTF">2026-04-20T23:49:15Z</dcterms:modified>
</cp:coreProperties>
</file>